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9630636B-330F-4ED3-8ABC-A414E1616275}" xr6:coauthVersionLast="47" xr6:coauthVersionMax="47" xr10:uidLastSave="{00000000-0000-0000-0000-000000000000}"/>
  <bookViews>
    <workbookView xWindow="-108" yWindow="-108" windowWidth="23256" windowHeight="13176" activeTab="1" xr2:uid="{00000000-000D-0000-FFFF-FFFF00000000}"/>
  </bookViews>
  <sheets>
    <sheet name="projectdata" sheetId="1" r:id="rId1"/>
    <sheet name="worksheet" sheetId="5" r:id="rId2"/>
    <sheet name="pivot table" sheetId="3" r:id="rId3"/>
    <sheet name="dashboard" sheetId="4" r:id="rId4"/>
  </sheets>
  <definedNames>
    <definedName name="_xlcn.WorksheetConnection_projectexcel.xlsxprojectdata4" hidden="1">projectdata4[]</definedName>
    <definedName name="Slicer_Education">#N/A</definedName>
    <definedName name="Slicer_MaritalStatus">#N/A</definedName>
    <definedName name="Slicer_Region">#N/A</definedName>
  </definedNames>
  <calcPr calcId="19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ojectdata4" name="projectdata4" connection="WorksheetConnection_project excel.xlsx!projectdata4"/>
        </x15:modelTables>
      </x15:dataModel>
    </ext>
  </extLst>
</workbook>
</file>

<file path=xl/calcChain.xml><?xml version="1.0" encoding="utf-8"?>
<calcChain xmlns="http://schemas.openxmlformats.org/spreadsheetml/2006/main">
  <c r="K2" i="5" l="1"/>
  <c r="K3" i="5"/>
  <c r="K4" i="5"/>
  <c r="K5" i="5"/>
  <c r="K6" i="5"/>
  <c r="K7" i="5"/>
  <c r="K8" i="5"/>
  <c r="K9" i="5"/>
  <c r="K10" i="5"/>
  <c r="K11" i="5"/>
  <c r="K12" i="5"/>
  <c r="K13" i="5"/>
  <c r="K14" i="5"/>
  <c r="K15" i="5"/>
  <c r="K16" i="5"/>
  <c r="J3" i="1"/>
  <c r="J4" i="1"/>
  <c r="J5" i="1"/>
  <c r="J6" i="1"/>
  <c r="J7" i="1"/>
  <c r="J8" i="1"/>
  <c r="J9" i="1"/>
  <c r="J10" i="1"/>
  <c r="J11" i="1"/>
  <c r="J12" i="1"/>
  <c r="J13" i="1"/>
  <c r="J14" i="1"/>
  <c r="J15" i="1"/>
  <c r="J16"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9B2A04-8488-4AD1-A1A8-7A5C5D7217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142E12F-C807-4306-89E2-8475B124587D}" name="WorksheetConnection_project excel.xlsx!projectdata4" type="102" refreshedVersion="8" minRefreshableVersion="5">
    <extLst>
      <ext xmlns:x15="http://schemas.microsoft.com/office/spreadsheetml/2010/11/main" uri="{DE250136-89BD-433C-8126-D09CA5730AF9}">
        <x15:connection id="projectdata4" autoDelete="1">
          <x15:rangePr sourceName="_xlcn.WorksheetConnection_projectexcel.xlsxprojectdata4"/>
        </x15:connection>
      </ext>
    </extLst>
  </connection>
</connections>
</file>

<file path=xl/sharedStrings.xml><?xml version="1.0" encoding="utf-8"?>
<sst xmlns="http://schemas.openxmlformats.org/spreadsheetml/2006/main" count="282" uniqueCount="58">
  <si>
    <t>ID</t>
  </si>
  <si>
    <t>MaritalStatus</t>
  </si>
  <si>
    <t>Income</t>
  </si>
  <si>
    <t>Children</t>
  </si>
  <si>
    <t>Education</t>
  </si>
  <si>
    <t>Occupation</t>
  </si>
  <si>
    <t>HomeOwner</t>
  </si>
  <si>
    <t>Region</t>
  </si>
  <si>
    <t>Age</t>
  </si>
  <si>
    <t>PurchasedBike</t>
  </si>
  <si>
    <t>Single</t>
  </si>
  <si>
    <t>Diploma</t>
  </si>
  <si>
    <t>Technician</t>
  </si>
  <si>
    <t>No</t>
  </si>
  <si>
    <t>South</t>
  </si>
  <si>
    <t>Married</t>
  </si>
  <si>
    <t>Graduate</t>
  </si>
  <si>
    <t>Engineer</t>
  </si>
  <si>
    <t>Yes</t>
  </si>
  <si>
    <t>North</t>
  </si>
  <si>
    <t>Teacher</t>
  </si>
  <si>
    <t>East</t>
  </si>
  <si>
    <t>12th</t>
  </si>
  <si>
    <t>Salesman</t>
  </si>
  <si>
    <t>West</t>
  </si>
  <si>
    <t>Postgraduate</t>
  </si>
  <si>
    <t>Manager</t>
  </si>
  <si>
    <t>Designer</t>
  </si>
  <si>
    <t>Clerk</t>
  </si>
  <si>
    <t>Electrician</t>
  </si>
  <si>
    <t>Consultant</t>
  </si>
  <si>
    <t>Analyst</t>
  </si>
  <si>
    <t>Driver</t>
  </si>
  <si>
    <t>Programmer</t>
  </si>
  <si>
    <t>Accountant</t>
  </si>
  <si>
    <t>10th</t>
  </si>
  <si>
    <t>Helper</t>
  </si>
  <si>
    <t>Architect</t>
  </si>
  <si>
    <t>Ages types</t>
  </si>
  <si>
    <t>gender</t>
  </si>
  <si>
    <t>Row Labels</t>
  </si>
  <si>
    <t>Grand Total</t>
  </si>
  <si>
    <t>Column Labels</t>
  </si>
  <si>
    <t>Average of Income</t>
  </si>
  <si>
    <t>M</t>
  </si>
  <si>
    <t>F</t>
  </si>
  <si>
    <t>comute distance</t>
  </si>
  <si>
    <t>0-1 miles</t>
  </si>
  <si>
    <t>0-1miles</t>
  </si>
  <si>
    <t>1-2 miles</t>
  </si>
  <si>
    <t>3-5 miles</t>
  </si>
  <si>
    <t>6-8 miles</t>
  </si>
  <si>
    <t>9-10 miles</t>
  </si>
  <si>
    <t>Count of PurchasedBike</t>
  </si>
  <si>
    <t>middle age(21-35)</t>
  </si>
  <si>
    <t>old(&lt;35)</t>
  </si>
  <si>
    <t>young(1-20)</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</si>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</sst>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30"/>
      <color theme="0"/>
      <name val="Calibri"/>
      <family val="2"/>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2" borderId="0" xfId="0" applyFill="1"/>
    <xf numFmtId="0" fontId="1" fillId="2" borderId="0" xfId="0" applyFont="1" applyFill="1"/>
  </cellXfs>
  <cellStyles count="1">
    <cellStyle name="Normal" xfId="0" builtinId="0"/>
  </cellStyles>
  <dxfs count="7">
    <dxf>
      <numFmt numFmtId="0" formatCode="General"/>
    </dxf>
    <dxf>
      <numFmt numFmtId="0" formatCode="General"/>
    </dxf>
    <dxf>
      <font>
        <b/>
        <color theme="1"/>
      </font>
      <border>
        <bottom style="thin">
          <color theme="4"/>
        </bottom>
        <vertical/>
        <horizontal/>
      </border>
    </dxf>
    <dxf>
      <font>
        <color theme="1"/>
      </font>
      <border diagonalUp="0" diagonalDown="0">
        <left style="dotted">
          <color theme="3" tint="0.59996337778862885"/>
        </left>
        <right style="dotted">
          <color theme="3" tint="0.59996337778862885"/>
        </right>
        <top style="dotted">
          <color theme="3" tint="0.59996337778862885"/>
        </top>
        <bottom style="dotted">
          <color theme="3" tint="0.59996337778862885"/>
        </bottom>
        <vertical/>
        <horizontal/>
      </border>
    </dxf>
    <dxf>
      <fill>
        <patternFill>
          <bgColor rgb="FFF6E0E8"/>
        </patternFill>
      </fill>
      <border diagonalUp="0" diagonalDown="0">
        <left/>
        <right/>
        <top/>
        <bottom/>
        <vertical/>
        <horizontal/>
      </border>
    </dxf>
    <dxf>
      <border diagonalUp="0" diagonalDown="0">
        <left/>
        <right/>
        <top/>
        <bottom/>
        <vertical/>
        <horizontal/>
      </border>
    </dxf>
    <dxf>
      <fill>
        <patternFill>
          <bgColor theme="2" tint="-0.499984740745262"/>
        </patternFill>
      </fill>
      <border diagonalUp="0" diagonalDown="0">
        <left/>
        <right/>
        <top/>
        <bottom/>
        <vertical/>
        <horizontal/>
      </border>
    </dxf>
  </dxfs>
  <tableStyles count="4" defaultTableStyle="TableStyleMedium2" defaultPivotStyle="PivotStyleLight16">
    <tableStyle name="Slicer Style 1" pivot="0" table="0" count="1" xr9:uid="{67C683C5-51FB-4D36-8ACA-506D4FEC086B}">
      <tableStyleElement type="wholeTable" dxfId="6"/>
    </tableStyle>
    <tableStyle name="Slicer Style 2" pivot="0" table="0" count="1" xr9:uid="{F9FC3BE8-5EED-4F19-8C13-36D47036A799}">
      <tableStyleElement type="wholeTable" dxfId="5"/>
    </tableStyle>
    <tableStyle name="Slicer Style 3" pivot="0" table="0" count="1" xr9:uid="{EAE8BDB8-EAAE-457E-86E2-38FCF8C270BE}">
      <tableStyleElement type="wholeTable" dxfId="4"/>
    </tableStyle>
    <tableStyle name="SlicerStyleLight1 2" pivot="0" table="0" count="10" xr9:uid="{E5CD768D-4D8C-4D8B-908D-FDCF0D5A4756}">
      <tableStyleElement type="wholeTable" dxfId="3"/>
      <tableStyleElement type="headerRow" dxfId="2"/>
    </tableStyle>
  </tableStyles>
  <colors>
    <mruColors>
      <color rgb="FFF6E0E8"/>
      <color rgb="FF99FFCC"/>
      <color rgb="FF66FF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 Style 1"/>
        <x14:slicerStyle name="Slicer Style 2"/>
        <x14:slicerStyle name="Slicer Style 3"/>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comute</a:t>
            </a:r>
          </a:p>
        </c:rich>
      </c:tx>
      <c:layout>
        <c:manualLayout>
          <c:xMode val="edge"/>
          <c:yMode val="edge"/>
          <c:x val="0.30138576132526751"/>
          <c:y val="0.113647909743991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479743413372804E-2"/>
          <c:y val="0.15013792039377871"/>
          <c:w val="0.64920363079615051"/>
          <c:h val="0.6076742490522018"/>
        </c:manualLayout>
      </c:layout>
      <c:line3DChart>
        <c:grouping val="standard"/>
        <c:varyColors val="0"/>
        <c:ser>
          <c:idx val="0"/>
          <c:order val="0"/>
          <c:tx>
            <c:strRef>
              <c:f>'pivot table'!$B$24:$B$25</c:f>
              <c:strCache>
                <c:ptCount val="1"/>
                <c:pt idx="0">
                  <c:v>No</c:v>
                </c:pt>
              </c:strCache>
            </c:strRef>
          </c:tx>
          <c:spPr>
            <a:solidFill>
              <a:schemeClr val="accent6"/>
            </a:solidFill>
            <a:ln>
              <a:noFill/>
            </a:ln>
            <a:effectLst/>
            <a:sp3d/>
          </c:spPr>
          <c:cat>
            <c:strRef>
              <c:f>'pivot table'!$A$26:$A$31</c:f>
              <c:strCache>
                <c:ptCount val="5"/>
                <c:pt idx="0">
                  <c:v>0-1miles</c:v>
                </c:pt>
                <c:pt idx="1">
                  <c:v>1-2 miles</c:v>
                </c:pt>
                <c:pt idx="2">
                  <c:v>3-5 miles</c:v>
                </c:pt>
                <c:pt idx="3">
                  <c:v>6-8 miles</c:v>
                </c:pt>
                <c:pt idx="4">
                  <c:v>9-10 miles</c:v>
                </c:pt>
              </c:strCache>
            </c:strRef>
          </c:cat>
          <c:val>
            <c:numRef>
              <c:f>'pivot table'!$B$26:$B$31</c:f>
              <c:numCache>
                <c:formatCode>General</c:formatCode>
                <c:ptCount val="5"/>
                <c:pt idx="0">
                  <c:v>1</c:v>
                </c:pt>
                <c:pt idx="1">
                  <c:v>2</c:v>
                </c:pt>
                <c:pt idx="2">
                  <c:v>2</c:v>
                </c:pt>
                <c:pt idx="3">
                  <c:v>1</c:v>
                </c:pt>
                <c:pt idx="4">
                  <c:v>1</c:v>
                </c:pt>
              </c:numCache>
            </c:numRef>
          </c:val>
          <c:smooth val="0"/>
          <c:extLst>
            <c:ext xmlns:c16="http://schemas.microsoft.com/office/drawing/2014/chart" uri="{C3380CC4-5D6E-409C-BE32-E72D297353CC}">
              <c16:uniqueId val="{00000004-519E-4FCA-8C7C-F093EC85966F}"/>
            </c:ext>
          </c:extLst>
        </c:ser>
        <c:ser>
          <c:idx val="1"/>
          <c:order val="1"/>
          <c:tx>
            <c:strRef>
              <c:f>'pivot table'!$C$24:$C$25</c:f>
              <c:strCache>
                <c:ptCount val="1"/>
                <c:pt idx="0">
                  <c:v>Yes</c:v>
                </c:pt>
              </c:strCache>
            </c:strRef>
          </c:tx>
          <c:spPr>
            <a:solidFill>
              <a:schemeClr val="accent5"/>
            </a:solidFill>
            <a:ln>
              <a:noFill/>
            </a:ln>
            <a:effectLst/>
            <a:sp3d/>
          </c:spPr>
          <c:cat>
            <c:strRef>
              <c:f>'pivot table'!$A$26:$A$31</c:f>
              <c:strCache>
                <c:ptCount val="5"/>
                <c:pt idx="0">
                  <c:v>0-1miles</c:v>
                </c:pt>
                <c:pt idx="1">
                  <c:v>1-2 miles</c:v>
                </c:pt>
                <c:pt idx="2">
                  <c:v>3-5 miles</c:v>
                </c:pt>
                <c:pt idx="3">
                  <c:v>6-8 miles</c:v>
                </c:pt>
                <c:pt idx="4">
                  <c:v>9-10 miles</c:v>
                </c:pt>
              </c:strCache>
            </c:strRef>
          </c:cat>
          <c:val>
            <c:numRef>
              <c:f>'pivot table'!$C$26:$C$31</c:f>
              <c:numCache>
                <c:formatCode>General</c:formatCode>
                <c:ptCount val="5"/>
                <c:pt idx="1">
                  <c:v>1</c:v>
                </c:pt>
                <c:pt idx="2">
                  <c:v>3</c:v>
                </c:pt>
                <c:pt idx="3">
                  <c:v>3</c:v>
                </c:pt>
                <c:pt idx="4">
                  <c:v>1</c:v>
                </c:pt>
              </c:numCache>
            </c:numRef>
          </c:val>
          <c:smooth val="0"/>
          <c:extLst>
            <c:ext xmlns:c16="http://schemas.microsoft.com/office/drawing/2014/chart" uri="{C3380CC4-5D6E-409C-BE32-E72D297353CC}">
              <c16:uniqueId val="{00000009-519E-4FCA-8C7C-F093EC85966F}"/>
            </c:ext>
          </c:extLst>
        </c:ser>
        <c:dLbls>
          <c:showLegendKey val="0"/>
          <c:showVal val="0"/>
          <c:showCatName val="0"/>
          <c:showSerName val="0"/>
          <c:showPercent val="0"/>
          <c:showBubbleSize val="0"/>
        </c:dLbls>
        <c:axId val="2112772464"/>
        <c:axId val="2112770544"/>
        <c:axId val="1770244608"/>
      </c:line3DChart>
      <c:catAx>
        <c:axId val="2112772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70544"/>
        <c:crosses val="autoZero"/>
        <c:auto val="1"/>
        <c:lblAlgn val="ctr"/>
        <c:lblOffset val="100"/>
        <c:noMultiLvlLbl val="0"/>
      </c:catAx>
      <c:valAx>
        <c:axId val="211277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72464"/>
        <c:crosses val="autoZero"/>
        <c:crossBetween val="between"/>
      </c:valAx>
      <c:serAx>
        <c:axId val="177024460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705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table'!$A$40:$A$43</c:f>
              <c:strCache>
                <c:ptCount val="3"/>
                <c:pt idx="0">
                  <c:v>middle age(21-35)</c:v>
                </c:pt>
                <c:pt idx="1">
                  <c:v>old(&lt;35)</c:v>
                </c:pt>
                <c:pt idx="2">
                  <c:v>young(1-20)</c:v>
                </c:pt>
              </c:strCache>
            </c:strRef>
          </c:cat>
          <c:val>
            <c:numRef>
              <c:f>'pivot table'!$B$40:$B$43</c:f>
              <c:numCache>
                <c:formatCode>General</c:formatCode>
                <c:ptCount val="3"/>
                <c:pt idx="0">
                  <c:v>3</c:v>
                </c:pt>
                <c:pt idx="1">
                  <c:v>2</c:v>
                </c:pt>
                <c:pt idx="2">
                  <c:v>2</c:v>
                </c:pt>
              </c:numCache>
            </c:numRef>
          </c:val>
          <c:smooth val="0"/>
          <c:extLst>
            <c:ext xmlns:c16="http://schemas.microsoft.com/office/drawing/2014/chart" uri="{C3380CC4-5D6E-409C-BE32-E72D297353CC}">
              <c16:uniqueId val="{00000004-C818-40A4-9C17-67D7FD039FC0}"/>
            </c:ext>
          </c:extLst>
        </c:ser>
        <c:ser>
          <c:idx val="1"/>
          <c:order val="1"/>
          <c:tx>
            <c:strRef>
              <c:f>'pivot table'!$C$38:$C$39</c:f>
              <c:strCache>
                <c:ptCount val="1"/>
                <c:pt idx="0">
                  <c:v>Yes</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table'!$A$40:$A$43</c:f>
              <c:strCache>
                <c:ptCount val="3"/>
                <c:pt idx="0">
                  <c:v>middle age(21-35)</c:v>
                </c:pt>
                <c:pt idx="1">
                  <c:v>old(&lt;35)</c:v>
                </c:pt>
                <c:pt idx="2">
                  <c:v>young(1-20)</c:v>
                </c:pt>
              </c:strCache>
            </c:strRef>
          </c:cat>
          <c:val>
            <c:numRef>
              <c:f>'pivot table'!$C$40:$C$43</c:f>
              <c:numCache>
                <c:formatCode>General</c:formatCode>
                <c:ptCount val="3"/>
                <c:pt idx="0">
                  <c:v>4</c:v>
                </c:pt>
                <c:pt idx="1">
                  <c:v>3</c:v>
                </c:pt>
                <c:pt idx="2">
                  <c:v>1</c:v>
                </c:pt>
              </c:numCache>
            </c:numRef>
          </c:val>
          <c:smooth val="0"/>
          <c:extLst>
            <c:ext xmlns:c16="http://schemas.microsoft.com/office/drawing/2014/chart" uri="{C3380CC4-5D6E-409C-BE32-E72D297353CC}">
              <c16:uniqueId val="{00000009-C818-40A4-9C17-67D7FD039FC0}"/>
            </c:ext>
          </c:extLst>
        </c:ser>
        <c:dLbls>
          <c:showLegendKey val="0"/>
          <c:showVal val="0"/>
          <c:showCatName val="0"/>
          <c:showSerName val="0"/>
          <c:showPercent val="0"/>
          <c:showBubbleSize val="0"/>
        </c:dLbls>
        <c:marker val="1"/>
        <c:smooth val="0"/>
        <c:axId val="1996223360"/>
        <c:axId val="1996232960"/>
      </c:lineChart>
      <c:catAx>
        <c:axId val="19962233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32960"/>
        <c:crosses val="autoZero"/>
        <c:auto val="1"/>
        <c:lblAlgn val="ctr"/>
        <c:lblOffset val="100"/>
        <c:noMultiLvlLbl val="0"/>
      </c:catAx>
      <c:valAx>
        <c:axId val="199623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2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table'!$A$6:$A$8</c:f>
              <c:strCache>
                <c:ptCount val="2"/>
                <c:pt idx="0">
                  <c:v>F</c:v>
                </c:pt>
                <c:pt idx="1">
                  <c:v>M</c:v>
                </c:pt>
              </c:strCache>
            </c:strRef>
          </c:cat>
          <c:val>
            <c:numRef>
              <c:f>'pivot table'!$B$6:$B$8</c:f>
              <c:numCache>
                <c:formatCode>General</c:formatCode>
                <c:ptCount val="2"/>
                <c:pt idx="0">
                  <c:v>28000</c:v>
                </c:pt>
                <c:pt idx="1">
                  <c:v>41550</c:v>
                </c:pt>
              </c:numCache>
            </c:numRef>
          </c:val>
          <c:extLst>
            <c:ext xmlns:c16="http://schemas.microsoft.com/office/drawing/2014/chart" uri="{C3380CC4-5D6E-409C-BE32-E72D297353CC}">
              <c16:uniqueId val="{0000000A-713C-4492-A26C-07CE9D60F5E7}"/>
            </c:ext>
          </c:extLst>
        </c:ser>
        <c:ser>
          <c:idx val="1"/>
          <c:order val="1"/>
          <c:tx>
            <c:strRef>
              <c:f>'pivot table'!$C$4:$C$5</c:f>
              <c:strCache>
                <c:ptCount val="1"/>
                <c:pt idx="0">
                  <c:v>Yes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table'!$A$6:$A$8</c:f>
              <c:strCache>
                <c:ptCount val="2"/>
                <c:pt idx="0">
                  <c:v>F</c:v>
                </c:pt>
                <c:pt idx="1">
                  <c:v>M</c:v>
                </c:pt>
              </c:strCache>
            </c:strRef>
          </c:cat>
          <c:val>
            <c:numRef>
              <c:f>'pivot table'!$C$6:$C$8</c:f>
              <c:numCache>
                <c:formatCode>General</c:formatCode>
                <c:ptCount val="2"/>
                <c:pt idx="0">
                  <c:v>19550</c:v>
                </c:pt>
                <c:pt idx="1">
                  <c:v>24920</c:v>
                </c:pt>
              </c:numCache>
            </c:numRef>
          </c:val>
          <c:extLst>
            <c:ext xmlns:c16="http://schemas.microsoft.com/office/drawing/2014/chart" uri="{C3380CC4-5D6E-409C-BE32-E72D297353CC}">
              <c16:uniqueId val="{0000000C-713C-4492-A26C-07CE9D60F5E7}"/>
            </c:ext>
          </c:extLst>
        </c:ser>
        <c:dLbls>
          <c:dLblPos val="outEnd"/>
          <c:showLegendKey val="0"/>
          <c:showVal val="1"/>
          <c:showCatName val="0"/>
          <c:showSerName val="0"/>
          <c:showPercent val="0"/>
          <c:showBubbleSize val="0"/>
        </c:dLbls>
        <c:gapWidth val="219"/>
        <c:overlap val="-27"/>
        <c:axId val="2113549664"/>
        <c:axId val="2113547264"/>
      </c:barChart>
      <c:catAx>
        <c:axId val="211354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47264"/>
        <c:crosses val="autoZero"/>
        <c:auto val="1"/>
        <c:lblAlgn val="ctr"/>
        <c:lblOffset val="100"/>
        <c:noMultiLvlLbl val="0"/>
      </c:catAx>
      <c:valAx>
        <c:axId val="211354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49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table!PivotTable1</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Customer comute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479743413372804E-2"/>
          <c:y val="0.15013792039377871"/>
          <c:w val="0.64920363079615051"/>
          <c:h val="0.6076742490522018"/>
        </c:manualLayout>
      </c:layout>
      <c:line3DChart>
        <c:grouping val="standard"/>
        <c:varyColors val="0"/>
        <c:ser>
          <c:idx val="0"/>
          <c:order val="0"/>
          <c:tx>
            <c:strRef>
              <c:f>'pivot table'!$B$24:$B$25</c:f>
              <c:strCache>
                <c:ptCount val="1"/>
                <c:pt idx="0">
                  <c:v>No</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a:sp3d contourW="9525">
              <a:contourClr>
                <a:schemeClr val="accent6">
                  <a:shade val="95000"/>
                </a:schemeClr>
              </a:contourClr>
            </a:sp3d>
          </c:spPr>
          <c:cat>
            <c:strRef>
              <c:f>'pivot table'!$A$26:$A$31</c:f>
              <c:strCache>
                <c:ptCount val="5"/>
                <c:pt idx="0">
                  <c:v>0-1miles</c:v>
                </c:pt>
                <c:pt idx="1">
                  <c:v>1-2 miles</c:v>
                </c:pt>
                <c:pt idx="2">
                  <c:v>3-5 miles</c:v>
                </c:pt>
                <c:pt idx="3">
                  <c:v>6-8 miles</c:v>
                </c:pt>
                <c:pt idx="4">
                  <c:v>9-10 miles</c:v>
                </c:pt>
              </c:strCache>
            </c:strRef>
          </c:cat>
          <c:val>
            <c:numRef>
              <c:f>'pivot table'!$B$26:$B$31</c:f>
              <c:numCache>
                <c:formatCode>General</c:formatCode>
                <c:ptCount val="5"/>
                <c:pt idx="0">
                  <c:v>1</c:v>
                </c:pt>
                <c:pt idx="1">
                  <c:v>2</c:v>
                </c:pt>
                <c:pt idx="2">
                  <c:v>2</c:v>
                </c:pt>
                <c:pt idx="3">
                  <c:v>1</c:v>
                </c:pt>
                <c:pt idx="4">
                  <c:v>1</c:v>
                </c:pt>
              </c:numCache>
            </c:numRef>
          </c:val>
          <c:smooth val="0"/>
          <c:extLst>
            <c:ext xmlns:c16="http://schemas.microsoft.com/office/drawing/2014/chart" uri="{C3380CC4-5D6E-409C-BE32-E72D297353CC}">
              <c16:uniqueId val="{00000004-BCA9-4D17-82BD-4370E8B0D44F}"/>
            </c:ext>
          </c:extLst>
        </c:ser>
        <c:ser>
          <c:idx val="1"/>
          <c:order val="1"/>
          <c:tx>
            <c:strRef>
              <c:f>'pivot table'!$C$24:$C$25</c:f>
              <c:strCache>
                <c:ptCount val="1"/>
                <c:pt idx="0">
                  <c:v>Yes</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cat>
            <c:strRef>
              <c:f>'pivot table'!$A$26:$A$31</c:f>
              <c:strCache>
                <c:ptCount val="5"/>
                <c:pt idx="0">
                  <c:v>0-1miles</c:v>
                </c:pt>
                <c:pt idx="1">
                  <c:v>1-2 miles</c:v>
                </c:pt>
                <c:pt idx="2">
                  <c:v>3-5 miles</c:v>
                </c:pt>
                <c:pt idx="3">
                  <c:v>6-8 miles</c:v>
                </c:pt>
                <c:pt idx="4">
                  <c:v>9-10 miles</c:v>
                </c:pt>
              </c:strCache>
            </c:strRef>
          </c:cat>
          <c:val>
            <c:numRef>
              <c:f>'pivot table'!$C$26:$C$31</c:f>
              <c:numCache>
                <c:formatCode>General</c:formatCode>
                <c:ptCount val="5"/>
                <c:pt idx="1">
                  <c:v>1</c:v>
                </c:pt>
                <c:pt idx="2">
                  <c:v>3</c:v>
                </c:pt>
                <c:pt idx="3">
                  <c:v>3</c:v>
                </c:pt>
                <c:pt idx="4">
                  <c:v>1</c:v>
                </c:pt>
              </c:numCache>
            </c:numRef>
          </c:val>
          <c:smooth val="0"/>
          <c:extLst>
            <c:ext xmlns:c16="http://schemas.microsoft.com/office/drawing/2014/chart" uri="{C3380CC4-5D6E-409C-BE32-E72D297353CC}">
              <c16:uniqueId val="{00000009-BCA9-4D17-82BD-4370E8B0D44F}"/>
            </c:ext>
          </c:extLst>
        </c:ser>
        <c:dLbls>
          <c:showLegendKey val="0"/>
          <c:showVal val="0"/>
          <c:showCatName val="0"/>
          <c:showSerName val="0"/>
          <c:showPercent val="0"/>
          <c:showBubbleSize val="0"/>
        </c:dLbls>
        <c:axId val="2112772464"/>
        <c:axId val="2112770544"/>
        <c:axId val="1770244608"/>
      </c:line3DChart>
      <c:catAx>
        <c:axId val="21127724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2770544"/>
        <c:crosses val="autoZero"/>
        <c:auto val="1"/>
        <c:lblAlgn val="ctr"/>
        <c:lblOffset val="100"/>
        <c:noMultiLvlLbl val="0"/>
      </c:catAx>
      <c:valAx>
        <c:axId val="211277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2772464"/>
        <c:crosses val="autoZero"/>
        <c:crossBetween val="between"/>
      </c:valAx>
      <c:serAx>
        <c:axId val="17702446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27705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table'!$A$40:$A$43</c:f>
              <c:strCache>
                <c:ptCount val="3"/>
                <c:pt idx="0">
                  <c:v>middle age(21-35)</c:v>
                </c:pt>
                <c:pt idx="1">
                  <c:v>old(&lt;35)</c:v>
                </c:pt>
                <c:pt idx="2">
                  <c:v>young(1-20)</c:v>
                </c:pt>
              </c:strCache>
            </c:strRef>
          </c:cat>
          <c:val>
            <c:numRef>
              <c:f>'pivot table'!$B$40:$B$43</c:f>
              <c:numCache>
                <c:formatCode>General</c:formatCode>
                <c:ptCount val="3"/>
                <c:pt idx="0">
                  <c:v>3</c:v>
                </c:pt>
                <c:pt idx="1">
                  <c:v>2</c:v>
                </c:pt>
                <c:pt idx="2">
                  <c:v>2</c:v>
                </c:pt>
              </c:numCache>
            </c:numRef>
          </c:val>
          <c:smooth val="0"/>
          <c:extLst>
            <c:ext xmlns:c16="http://schemas.microsoft.com/office/drawing/2014/chart" uri="{C3380CC4-5D6E-409C-BE32-E72D297353CC}">
              <c16:uniqueId val="{00000004-86AD-4A2D-9484-CBD33253AA7C}"/>
            </c:ext>
          </c:extLst>
        </c:ser>
        <c:ser>
          <c:idx val="1"/>
          <c:order val="1"/>
          <c:tx>
            <c:strRef>
              <c:f>'pivot table'!$C$38:$C$39</c:f>
              <c:strCache>
                <c:ptCount val="1"/>
                <c:pt idx="0">
                  <c:v>Yes</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table'!$A$40:$A$43</c:f>
              <c:strCache>
                <c:ptCount val="3"/>
                <c:pt idx="0">
                  <c:v>middle age(21-35)</c:v>
                </c:pt>
                <c:pt idx="1">
                  <c:v>old(&lt;35)</c:v>
                </c:pt>
                <c:pt idx="2">
                  <c:v>young(1-20)</c:v>
                </c:pt>
              </c:strCache>
            </c:strRef>
          </c:cat>
          <c:val>
            <c:numRef>
              <c:f>'pivot table'!$C$40:$C$43</c:f>
              <c:numCache>
                <c:formatCode>General</c:formatCode>
                <c:ptCount val="3"/>
                <c:pt idx="0">
                  <c:v>4</c:v>
                </c:pt>
                <c:pt idx="1">
                  <c:v>3</c:v>
                </c:pt>
                <c:pt idx="2">
                  <c:v>1</c:v>
                </c:pt>
              </c:numCache>
            </c:numRef>
          </c:val>
          <c:smooth val="0"/>
          <c:extLst>
            <c:ext xmlns:c16="http://schemas.microsoft.com/office/drawing/2014/chart" uri="{C3380CC4-5D6E-409C-BE32-E72D297353CC}">
              <c16:uniqueId val="{00000009-86AD-4A2D-9484-CBD33253AA7C}"/>
            </c:ext>
          </c:extLst>
        </c:ser>
        <c:dLbls>
          <c:showLegendKey val="0"/>
          <c:showVal val="0"/>
          <c:showCatName val="0"/>
          <c:showSerName val="0"/>
          <c:showPercent val="0"/>
          <c:showBubbleSize val="0"/>
        </c:dLbls>
        <c:marker val="1"/>
        <c:smooth val="0"/>
        <c:axId val="1996223360"/>
        <c:axId val="1996232960"/>
      </c:lineChart>
      <c:catAx>
        <c:axId val="19962233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32960"/>
        <c:crosses val="autoZero"/>
        <c:auto val="1"/>
        <c:lblAlgn val="ctr"/>
        <c:lblOffset val="100"/>
        <c:noMultiLvlLbl val="0"/>
      </c:catAx>
      <c:valAx>
        <c:axId val="199623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2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3105481983189069"/>
          <c:y val="8.61128397436415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table'!$A$6:$A$8</c:f>
              <c:strCache>
                <c:ptCount val="2"/>
                <c:pt idx="0">
                  <c:v>F</c:v>
                </c:pt>
                <c:pt idx="1">
                  <c:v>M</c:v>
                </c:pt>
              </c:strCache>
            </c:strRef>
          </c:cat>
          <c:val>
            <c:numRef>
              <c:f>'pivot table'!$B$6:$B$8</c:f>
              <c:numCache>
                <c:formatCode>General</c:formatCode>
                <c:ptCount val="2"/>
                <c:pt idx="0">
                  <c:v>28000</c:v>
                </c:pt>
                <c:pt idx="1">
                  <c:v>41550</c:v>
                </c:pt>
              </c:numCache>
            </c:numRef>
          </c:val>
          <c:extLst>
            <c:ext xmlns:c16="http://schemas.microsoft.com/office/drawing/2014/chart" uri="{C3380CC4-5D6E-409C-BE32-E72D297353CC}">
              <c16:uniqueId val="{0000000A-C15A-4298-B59F-326F1C73A33E}"/>
            </c:ext>
          </c:extLst>
        </c:ser>
        <c:ser>
          <c:idx val="1"/>
          <c:order val="1"/>
          <c:tx>
            <c:strRef>
              <c:f>'pivot table'!$C$4:$C$5</c:f>
              <c:strCache>
                <c:ptCount val="1"/>
                <c:pt idx="0">
                  <c:v>Yes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table'!$A$6:$A$8</c:f>
              <c:strCache>
                <c:ptCount val="2"/>
                <c:pt idx="0">
                  <c:v>F</c:v>
                </c:pt>
                <c:pt idx="1">
                  <c:v>M</c:v>
                </c:pt>
              </c:strCache>
            </c:strRef>
          </c:cat>
          <c:val>
            <c:numRef>
              <c:f>'pivot table'!$C$6:$C$8</c:f>
              <c:numCache>
                <c:formatCode>General</c:formatCode>
                <c:ptCount val="2"/>
                <c:pt idx="0">
                  <c:v>19550</c:v>
                </c:pt>
                <c:pt idx="1">
                  <c:v>24920</c:v>
                </c:pt>
              </c:numCache>
            </c:numRef>
          </c:val>
          <c:extLst>
            <c:ext xmlns:c16="http://schemas.microsoft.com/office/drawing/2014/chart" uri="{C3380CC4-5D6E-409C-BE32-E72D297353CC}">
              <c16:uniqueId val="{0000000C-C15A-4298-B59F-326F1C73A33E}"/>
            </c:ext>
          </c:extLst>
        </c:ser>
        <c:dLbls>
          <c:dLblPos val="outEnd"/>
          <c:showLegendKey val="0"/>
          <c:showVal val="1"/>
          <c:showCatName val="0"/>
          <c:showSerName val="0"/>
          <c:showPercent val="0"/>
          <c:showBubbleSize val="0"/>
        </c:dLbls>
        <c:gapWidth val="219"/>
        <c:overlap val="-27"/>
        <c:axId val="2113549664"/>
        <c:axId val="2113547264"/>
      </c:barChart>
      <c:catAx>
        <c:axId val="211354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47264"/>
        <c:crosses val="autoZero"/>
        <c:auto val="1"/>
        <c:lblAlgn val="ctr"/>
        <c:lblOffset val="100"/>
        <c:noMultiLvlLbl val="0"/>
      </c:catAx>
      <c:valAx>
        <c:axId val="211354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49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698500</xdr:colOff>
      <xdr:row>18</xdr:row>
      <xdr:rowOff>2309</xdr:rowOff>
    </xdr:from>
    <xdr:to>
      <xdr:col>14</xdr:col>
      <xdr:colOff>559954</xdr:colOff>
      <xdr:row>32</xdr:row>
      <xdr:rowOff>159327</xdr:rowOff>
    </xdr:to>
    <xdr:graphicFrame macro="">
      <xdr:nvGraphicFramePr>
        <xdr:cNvPr id="7" name="Chart 6">
          <a:extLst>
            <a:ext uri="{FF2B5EF4-FFF2-40B4-BE49-F238E27FC236}">
              <a16:creationId xmlns:a16="http://schemas.microsoft.com/office/drawing/2014/main" id="{6DDA1264-768E-7CD1-F4BB-B2F89521C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648890</xdr:colOff>
      <xdr:row>34</xdr:row>
      <xdr:rowOff>116680</xdr:rowOff>
    </xdr:from>
    <xdr:to>
      <xdr:col>14</xdr:col>
      <xdr:colOff>494109</xdr:colOff>
      <xdr:row>50</xdr:row>
      <xdr:rowOff>2380</xdr:rowOff>
    </xdr:to>
    <xdr:graphicFrame macro="">
      <xdr:nvGraphicFramePr>
        <xdr:cNvPr id="8" name="Chart 7">
          <a:extLst>
            <a:ext uri="{FF2B5EF4-FFF2-40B4-BE49-F238E27FC236}">
              <a16:creationId xmlns:a16="http://schemas.microsoft.com/office/drawing/2014/main" id="{70C0516B-4383-9E50-6494-4DCB38B0C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5953</xdr:colOff>
      <xdr:row>1</xdr:row>
      <xdr:rowOff>134540</xdr:rowOff>
    </xdr:from>
    <xdr:to>
      <xdr:col>14</xdr:col>
      <xdr:colOff>589359</xdr:colOff>
      <xdr:row>17</xdr:row>
      <xdr:rowOff>20240</xdr:rowOff>
    </xdr:to>
    <xdr:graphicFrame macro="">
      <xdr:nvGraphicFramePr>
        <xdr:cNvPr id="10" name="Chart 9">
          <a:extLst>
            <a:ext uri="{FF2B5EF4-FFF2-40B4-BE49-F238E27FC236}">
              <a16:creationId xmlns:a16="http://schemas.microsoft.com/office/drawing/2014/main" id="{52DDE9C6-AC50-2498-B6AB-40BBD5F41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342900</xdr:colOff>
      <xdr:row>3</xdr:row>
      <xdr:rowOff>38100</xdr:rowOff>
    </xdr:from>
    <xdr:to>
      <xdr:col>15</xdr:col>
      <xdr:colOff>22860</xdr:colOff>
      <xdr:row>17</xdr:row>
      <xdr:rowOff>15240</xdr:rowOff>
    </xdr:to>
    <xdr:graphicFrame macro="">
      <xdr:nvGraphicFramePr>
        <xdr:cNvPr id="3" name="Chart 2">
          <a:extLst>
            <a:ext uri="{FF2B5EF4-FFF2-40B4-BE49-F238E27FC236}">
              <a16:creationId xmlns:a16="http://schemas.microsoft.com/office/drawing/2014/main" id="{1C181570-3276-442E-93B5-C735767DD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17</xdr:row>
      <xdr:rowOff>38100</xdr:rowOff>
    </xdr:from>
    <xdr:to>
      <xdr:col>15</xdr:col>
      <xdr:colOff>15240</xdr:colOff>
      <xdr:row>31</xdr:row>
      <xdr:rowOff>68580</xdr:rowOff>
    </xdr:to>
    <xdr:graphicFrame macro="">
      <xdr:nvGraphicFramePr>
        <xdr:cNvPr id="4" name="Chart 3">
          <a:extLst>
            <a:ext uri="{FF2B5EF4-FFF2-40B4-BE49-F238E27FC236}">
              <a16:creationId xmlns:a16="http://schemas.microsoft.com/office/drawing/2014/main" id="{C1E12016-F252-4864-B62E-087A4EFDB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96983</xdr:colOff>
      <xdr:row>3</xdr:row>
      <xdr:rowOff>41564</xdr:rowOff>
    </xdr:from>
    <xdr:to>
      <xdr:col>8</xdr:col>
      <xdr:colOff>332509</xdr:colOff>
      <xdr:row>17</xdr:row>
      <xdr:rowOff>13854</xdr:rowOff>
    </xdr:to>
    <xdr:graphicFrame macro="">
      <xdr:nvGraphicFramePr>
        <xdr:cNvPr id="8" name="Chart 7">
          <a:extLst>
            <a:ext uri="{FF2B5EF4-FFF2-40B4-BE49-F238E27FC236}">
              <a16:creationId xmlns:a16="http://schemas.microsoft.com/office/drawing/2014/main" id="{B8A0CA0D-2D32-4252-B4F8-651ABEAEF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41563</xdr:colOff>
      <xdr:row>0</xdr:row>
      <xdr:rowOff>45497</xdr:rowOff>
    </xdr:from>
    <xdr:to>
      <xdr:col>18</xdr:col>
      <xdr:colOff>70568</xdr:colOff>
      <xdr:row>5</xdr:row>
      <xdr:rowOff>73208</xdr:rowOff>
    </xdr:to>
    <mc:AlternateContent xmlns:mc="http://schemas.openxmlformats.org/markup-compatibility/2006" xmlns:a14="http://schemas.microsoft.com/office/drawing/2010/main">
      <mc:Choice Requires="a14">
        <xdr:graphicFrame macro="">
          <xdr:nvGraphicFramePr>
            <xdr:cNvPr id="9" name="MaritalStatus">
              <a:extLst>
                <a:ext uri="{FF2B5EF4-FFF2-40B4-BE49-F238E27FC236}">
                  <a16:creationId xmlns:a16="http://schemas.microsoft.com/office/drawing/2014/main" id="{C232C62E-0814-CE57-B259-AD12451F132E}"/>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9213785" y="45497"/>
              <a:ext cx="1863450" cy="1231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47688</xdr:colOff>
      <xdr:row>5</xdr:row>
      <xdr:rowOff>95529</xdr:rowOff>
    </xdr:from>
    <xdr:to>
      <xdr:col>18</xdr:col>
      <xdr:colOff>76693</xdr:colOff>
      <xdr:row>15</xdr:row>
      <xdr:rowOff>103481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548E446-4DCE-6B02-3EDB-4E5AECA4BC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19910" y="1299677"/>
              <a:ext cx="1863450" cy="179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52647</xdr:colOff>
      <xdr:row>15</xdr:row>
      <xdr:rowOff>141024</xdr:rowOff>
    </xdr:from>
    <xdr:to>
      <xdr:col>18</xdr:col>
      <xdr:colOff>65852</xdr:colOff>
      <xdr:row>27</xdr:row>
      <xdr:rowOff>75260</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108E945E-EDBA-E20B-418D-C7A0DC9E7A9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224869" y="3132580"/>
              <a:ext cx="1847650" cy="2079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3.513363078702" backgroundQuery="1" createdVersion="8" refreshedVersion="8" minRefreshableVersion="3" recordCount="0" supportSubquery="1" supportAdvancedDrill="1" xr:uid="{1261DE97-BB9F-4FB3-8569-BF55A6AC8A5E}">
  <cacheSource type="external" connectionId="1"/>
  <cacheFields count="4">
    <cacheField name="[projectdata4].[gender].[gender]" caption="gender" numFmtId="0" hierarchy="2" level="1">
      <sharedItems count="2">
        <s v="F"/>
        <s v="M"/>
      </sharedItems>
    </cacheField>
    <cacheField name="[projectdata4].[PurchasedBike].[PurchasedBike]" caption="PurchasedBike" numFmtId="0" hierarchy="12" level="1">
      <sharedItems count="2">
        <s v="No"/>
        <s v="Yes"/>
      </sharedItems>
    </cacheField>
    <cacheField name="[Measures].[Average of Income]" caption="Average of Income" numFmtId="0" hierarchy="17" level="32767"/>
    <cacheField name="[projectdata4].[MaritalStatus].[MaritalStatus]" caption="MaritalStatus" numFmtId="0" hierarchy="1" level="1">
      <sharedItems containsSemiMixedTypes="0" containsNonDate="0" containsString="0"/>
    </cacheField>
  </cacheFields>
  <cacheHierarchies count="18">
    <cacheHierarchy uniqueName="[projectdata4].[ID]" caption="ID" attribute="1" defaultMemberUniqueName="[projectdata4].[ID].[All]" allUniqueName="[projectdata4].[ID].[All]" dimensionUniqueName="[projectdata4]" displayFolder="" count="2" memberValueDatatype="20" unbalanced="0"/>
    <cacheHierarchy uniqueName="[projectdata4].[MaritalStatus]" caption="MaritalStatus" attribute="1" defaultMemberUniqueName="[projectdata4].[MaritalStatus].[All]" allUniqueName="[projectdata4].[MaritalStatus].[All]" dimensionUniqueName="[projectdata4]" displayFolder="" count="2" memberValueDatatype="130" unbalanced="0">
      <fieldsUsage count="2">
        <fieldUsage x="-1"/>
        <fieldUsage x="3"/>
      </fieldsUsage>
    </cacheHierarchy>
    <cacheHierarchy uniqueName="[projectdata4].[gender]" caption="gender" attribute="1" defaultMemberUniqueName="[projectdata4].[gender].[All]" allUniqueName="[projectdata4].[gender].[All]" dimensionUniqueName="[projectdata4]" displayFolder="" count="2" memberValueDatatype="130" unbalanced="0">
      <fieldsUsage count="2">
        <fieldUsage x="-1"/>
        <fieldUsage x="0"/>
      </fieldsUsage>
    </cacheHierarchy>
    <cacheHierarchy uniqueName="[projectdata4].[Income]" caption="Income" attribute="1" defaultMemberUniqueName="[projectdata4].[Income].[All]" allUniqueName="[projectdata4].[Income].[All]" dimensionUniqueName="[projectdata4]" displayFolder="" count="2" memberValueDatatype="20" unbalanced="0"/>
    <cacheHierarchy uniqueName="[projectdata4].[Children]" caption="Children" attribute="1" defaultMemberUniqueName="[projectdata4].[Children].[All]" allUniqueName="[projectdata4].[Children].[All]" dimensionUniqueName="[projectdata4]" displayFolder="" count="2" memberValueDatatype="20" unbalanced="0"/>
    <cacheHierarchy uniqueName="[projectdata4].[Education]" caption="Education" attribute="1" defaultMemberUniqueName="[projectdata4].[Education].[All]" allUniqueName="[projectdata4].[Education].[All]" dimensionUniqueName="[projectdata4]" displayFolder="" count="2" memberValueDatatype="130" unbalanced="0"/>
    <cacheHierarchy uniqueName="[projectdata4].[Occupation]" caption="Occupation" attribute="1" defaultMemberUniqueName="[projectdata4].[Occupation].[All]" allUniqueName="[projectdata4].[Occupation].[All]" dimensionUniqueName="[projectdata4]" displayFolder="" count="2" memberValueDatatype="130" unbalanced="0"/>
    <cacheHierarchy uniqueName="[projectdata4].[HomeOwner]" caption="HomeOwner" attribute="1" defaultMemberUniqueName="[projectdata4].[HomeOwner].[All]" allUniqueName="[projectdata4].[HomeOwner].[All]" dimensionUniqueName="[projectdata4]" displayFolder="" count="2" memberValueDatatype="130" unbalanced="0"/>
    <cacheHierarchy uniqueName="[projectdata4].[Region]" caption="Region" attribute="1" defaultMemberUniqueName="[projectdata4].[Region].[All]" allUniqueName="[projectdata4].[Region].[All]" dimensionUniqueName="[projectdata4]" displayFolder="" count="2" memberValueDatatype="130" unbalanced="0"/>
    <cacheHierarchy uniqueName="[projectdata4].[Age]" caption="Age" attribute="1" defaultMemberUniqueName="[projectdata4].[Age].[All]" allUniqueName="[projectdata4].[Age].[All]" dimensionUniqueName="[projectdata4]" displayFolder="" count="2" memberValueDatatype="20" unbalanced="0"/>
    <cacheHierarchy uniqueName="[projectdata4].[Ages types]" caption="Ages types" attribute="1" defaultMemberUniqueName="[projectdata4].[Ages types].[All]" allUniqueName="[projectdata4].[Ages types].[All]" dimensionUniqueName="[projectdata4]" displayFolder="" count="2" memberValueDatatype="130" unbalanced="0"/>
    <cacheHierarchy uniqueName="[projectdata4].[comute distance]" caption="comute distance" attribute="1" defaultMemberUniqueName="[projectdata4].[comute distance].[All]" allUniqueName="[projectdata4].[comute distance].[All]" dimensionUniqueName="[projectdata4]" displayFolder="" count="2" memberValueDatatype="130" unbalanced="0"/>
    <cacheHierarchy uniqueName="[projectdata4].[PurchasedBike]" caption="PurchasedBike" attribute="1" defaultMemberUniqueName="[projectdata4].[PurchasedBike].[All]" allUniqueName="[projectdata4].[PurchasedBike].[All]" dimensionUniqueName="[projectdata4]" displayFolder="" count="2" memberValueDatatype="130" unbalanced="0">
      <fieldsUsage count="2">
        <fieldUsage x="-1"/>
        <fieldUsage x="1"/>
      </fieldsUsage>
    </cacheHierarchy>
    <cacheHierarchy uniqueName="[Measures].[__XL_Count projectdata4]" caption="__XL_Count projectdata4" measure="1" displayFolder="" measureGroup="projectdata4" count="0" hidden="1"/>
    <cacheHierarchy uniqueName="[Measures].[__No measures defined]" caption="__No measures defined" measure="1" displayFolder="" count="0" hidden="1"/>
    <cacheHierarchy uniqueName="[Measures].[Count of PurchasedBike]" caption="Count of PurchasedBike" measure="1" displayFolder="" measureGroup="projectdata4" count="0" hidden="1">
      <extLst>
        <ext xmlns:x15="http://schemas.microsoft.com/office/spreadsheetml/2010/11/main" uri="{B97F6D7D-B522-45F9-BDA1-12C45D357490}">
          <x15:cacheHierarchy aggregatedColumn="12"/>
        </ext>
      </extLst>
    </cacheHierarchy>
    <cacheHierarchy uniqueName="[Measures].[Sum of Income]" caption="Sum of Income" measure="1" displayFolder="" measureGroup="projectdata4"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projectdata4"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jectdata4" uniqueName="[projectdata4]" caption="projectdata4"/>
  </dimensions>
  <measureGroups count="1">
    <measureGroup name="projectdata4" caption="projectdata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3.513363541664" backgroundQuery="1" createdVersion="8" refreshedVersion="8" minRefreshableVersion="3" recordCount="0" supportSubquery="1" supportAdvancedDrill="1" xr:uid="{28AD14B5-6870-4615-B4C8-4E4F96A6F3B6}">
  <cacheSource type="external" connectionId="1"/>
  <cacheFields count="4">
    <cacheField name="[projectdata4].[comute distance].[comute distance]" caption="comute distance" numFmtId="0" hierarchy="11" level="1">
      <sharedItems count="5">
        <s v="0-1miles"/>
        <s v="1-2 miles"/>
        <s v="3-5 miles"/>
        <s v="6-8 miles"/>
        <s v="9-10 miles"/>
      </sharedItems>
    </cacheField>
    <cacheField name="[Measures].[Count of PurchasedBike]" caption="Count of PurchasedBike" numFmtId="0" hierarchy="15" level="32767"/>
    <cacheField name="[projectdata4].[PurchasedBike].[PurchasedBike]" caption="PurchasedBike" numFmtId="0" hierarchy="12" level="1">
      <sharedItems count="2">
        <s v="No"/>
        <s v="Yes"/>
      </sharedItems>
    </cacheField>
    <cacheField name="[projectdata4].[MaritalStatus].[MaritalStatus]" caption="MaritalStatus" numFmtId="0" hierarchy="1" level="1">
      <sharedItems containsSemiMixedTypes="0" containsNonDate="0" containsString="0"/>
    </cacheField>
  </cacheFields>
  <cacheHierarchies count="18">
    <cacheHierarchy uniqueName="[projectdata4].[ID]" caption="ID" attribute="1" defaultMemberUniqueName="[projectdata4].[ID].[All]" allUniqueName="[projectdata4].[ID].[All]" dimensionUniqueName="[projectdata4]" displayFolder="" count="2" memberValueDatatype="20" unbalanced="0"/>
    <cacheHierarchy uniqueName="[projectdata4].[MaritalStatus]" caption="MaritalStatus" attribute="1" defaultMemberUniqueName="[projectdata4].[MaritalStatus].[All]" allUniqueName="[projectdata4].[MaritalStatus].[All]" dimensionUniqueName="[projectdata4]" displayFolder="" count="2" memberValueDatatype="130" unbalanced="0">
      <fieldsUsage count="2">
        <fieldUsage x="-1"/>
        <fieldUsage x="3"/>
      </fieldsUsage>
    </cacheHierarchy>
    <cacheHierarchy uniqueName="[projectdata4].[gender]" caption="gender" attribute="1" defaultMemberUniqueName="[projectdata4].[gender].[All]" allUniqueName="[projectdata4].[gender].[All]" dimensionUniqueName="[projectdata4]" displayFolder="" count="2" memberValueDatatype="130" unbalanced="0"/>
    <cacheHierarchy uniqueName="[projectdata4].[Income]" caption="Income" attribute="1" defaultMemberUniqueName="[projectdata4].[Income].[All]" allUniqueName="[projectdata4].[Income].[All]" dimensionUniqueName="[projectdata4]" displayFolder="" count="2" memberValueDatatype="20" unbalanced="0"/>
    <cacheHierarchy uniqueName="[projectdata4].[Children]" caption="Children" attribute="1" defaultMemberUniqueName="[projectdata4].[Children].[All]" allUniqueName="[projectdata4].[Children].[All]" dimensionUniqueName="[projectdata4]" displayFolder="" count="2" memberValueDatatype="20" unbalanced="0"/>
    <cacheHierarchy uniqueName="[projectdata4].[Education]" caption="Education" attribute="1" defaultMemberUniqueName="[projectdata4].[Education].[All]" allUniqueName="[projectdata4].[Education].[All]" dimensionUniqueName="[projectdata4]" displayFolder="" count="2" memberValueDatatype="130" unbalanced="0"/>
    <cacheHierarchy uniqueName="[projectdata4].[Occupation]" caption="Occupation" attribute="1" defaultMemberUniqueName="[projectdata4].[Occupation].[All]" allUniqueName="[projectdata4].[Occupation].[All]" dimensionUniqueName="[projectdata4]" displayFolder="" count="2" memberValueDatatype="130" unbalanced="0"/>
    <cacheHierarchy uniqueName="[projectdata4].[HomeOwner]" caption="HomeOwner" attribute="1" defaultMemberUniqueName="[projectdata4].[HomeOwner].[All]" allUniqueName="[projectdata4].[HomeOwner].[All]" dimensionUniqueName="[projectdata4]" displayFolder="" count="2" memberValueDatatype="130" unbalanced="0"/>
    <cacheHierarchy uniqueName="[projectdata4].[Region]" caption="Region" attribute="1" defaultMemberUniqueName="[projectdata4].[Region].[All]" allUniqueName="[projectdata4].[Region].[All]" dimensionUniqueName="[projectdata4]" displayFolder="" count="2" memberValueDatatype="130" unbalanced="0"/>
    <cacheHierarchy uniqueName="[projectdata4].[Age]" caption="Age" attribute="1" defaultMemberUniqueName="[projectdata4].[Age].[All]" allUniqueName="[projectdata4].[Age].[All]" dimensionUniqueName="[projectdata4]" displayFolder="" count="2" memberValueDatatype="20" unbalanced="0"/>
    <cacheHierarchy uniqueName="[projectdata4].[Ages types]" caption="Ages types" attribute="1" defaultMemberUniqueName="[projectdata4].[Ages types].[All]" allUniqueName="[projectdata4].[Ages types].[All]" dimensionUniqueName="[projectdata4]" displayFolder="" count="2" memberValueDatatype="130" unbalanced="0"/>
    <cacheHierarchy uniqueName="[projectdata4].[comute distance]" caption="comute distance" attribute="1" defaultMemberUniqueName="[projectdata4].[comute distance].[All]" allUniqueName="[projectdata4].[comute distance].[All]" dimensionUniqueName="[projectdata4]" displayFolder="" count="2" memberValueDatatype="130" unbalanced="0">
      <fieldsUsage count="2">
        <fieldUsage x="-1"/>
        <fieldUsage x="0"/>
      </fieldsUsage>
    </cacheHierarchy>
    <cacheHierarchy uniqueName="[projectdata4].[PurchasedBike]" caption="PurchasedBike" attribute="1" defaultMemberUniqueName="[projectdata4].[PurchasedBike].[All]" allUniqueName="[projectdata4].[PurchasedBike].[All]" dimensionUniqueName="[projectdata4]" displayFolder="" count="2" memberValueDatatype="130" unbalanced="0">
      <fieldsUsage count="2">
        <fieldUsage x="-1"/>
        <fieldUsage x="2"/>
      </fieldsUsage>
    </cacheHierarchy>
    <cacheHierarchy uniqueName="[Measures].[__XL_Count projectdata4]" caption="__XL_Count projectdata4" measure="1" displayFolder="" measureGroup="projectdata4" count="0" hidden="1"/>
    <cacheHierarchy uniqueName="[Measures].[__No measures defined]" caption="__No measures defined" measure="1" displayFolder="" count="0" hidden="1"/>
    <cacheHierarchy uniqueName="[Measures].[Count of PurchasedBike]" caption="Count of PurchasedBike" measure="1" displayFolder="" measureGroup="projectdata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Income]" caption="Sum of Income" measure="1" displayFolder="" measureGroup="projectdata4"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projectdata4"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jectdata4" uniqueName="[projectdata4]" caption="projectdata4"/>
  </dimensions>
  <measureGroups count="1">
    <measureGroup name="projectdata4" caption="projectdata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3.513363888887" backgroundQuery="1" createdVersion="8" refreshedVersion="8" minRefreshableVersion="3" recordCount="0" supportSubquery="1" supportAdvancedDrill="1" xr:uid="{ACE2D8CC-4E82-4777-95B5-AAB1EAB26580}">
  <cacheSource type="external" connectionId="1"/>
  <cacheFields count="4">
    <cacheField name="[projectdata4].[Ages types].[Ages types]" caption="Ages types" numFmtId="0" hierarchy="10" level="1">
      <sharedItems count="3">
        <s v="middle age(21-35)"/>
        <s v="old(&lt;35)"/>
        <s v="young(1-20)"/>
      </sharedItems>
    </cacheField>
    <cacheField name="[Measures].[Count of PurchasedBike]" caption="Count of PurchasedBike" numFmtId="0" hierarchy="15" level="32767"/>
    <cacheField name="[projectdata4].[PurchasedBike].[PurchasedBike]" caption="PurchasedBike" numFmtId="0" hierarchy="12" level="1">
      <sharedItems count="2">
        <s v="No"/>
        <s v="Yes"/>
      </sharedItems>
    </cacheField>
    <cacheField name="[projectdata4].[MaritalStatus].[MaritalStatus]" caption="MaritalStatus" numFmtId="0" hierarchy="1" level="1">
      <sharedItems containsSemiMixedTypes="0" containsNonDate="0" containsString="0"/>
    </cacheField>
  </cacheFields>
  <cacheHierarchies count="18">
    <cacheHierarchy uniqueName="[projectdata4].[ID]" caption="ID" attribute="1" defaultMemberUniqueName="[projectdata4].[ID].[All]" allUniqueName="[projectdata4].[ID].[All]" dimensionUniqueName="[projectdata4]" displayFolder="" count="0" memberValueDatatype="20" unbalanced="0"/>
    <cacheHierarchy uniqueName="[projectdata4].[MaritalStatus]" caption="MaritalStatus" attribute="1" defaultMemberUniqueName="[projectdata4].[MaritalStatus].[All]" allUniqueName="[projectdata4].[MaritalStatus].[All]" dimensionUniqueName="[projectdata4]" displayFolder="" count="2" memberValueDatatype="130" unbalanced="0">
      <fieldsUsage count="2">
        <fieldUsage x="-1"/>
        <fieldUsage x="3"/>
      </fieldsUsage>
    </cacheHierarchy>
    <cacheHierarchy uniqueName="[projectdata4].[gender]" caption="gender" attribute="1" defaultMemberUniqueName="[projectdata4].[gender].[All]" allUniqueName="[projectdata4].[gender].[All]" dimensionUniqueName="[projectdata4]" displayFolder="" count="0" memberValueDatatype="130" unbalanced="0"/>
    <cacheHierarchy uniqueName="[projectdata4].[Income]" caption="Income" attribute="1" defaultMemberUniqueName="[projectdata4].[Income].[All]" allUniqueName="[projectdata4].[Income].[All]" dimensionUniqueName="[projectdata4]" displayFolder="" count="0" memberValueDatatype="20" unbalanced="0"/>
    <cacheHierarchy uniqueName="[projectdata4].[Children]" caption="Children" attribute="1" defaultMemberUniqueName="[projectdata4].[Children].[All]" allUniqueName="[projectdata4].[Children].[All]" dimensionUniqueName="[projectdata4]" displayFolder="" count="0" memberValueDatatype="20" unbalanced="0"/>
    <cacheHierarchy uniqueName="[projectdata4].[Education]" caption="Education" attribute="1" defaultMemberUniqueName="[projectdata4].[Education].[All]" allUniqueName="[projectdata4].[Education].[All]" dimensionUniqueName="[projectdata4]" displayFolder="" count="0" memberValueDatatype="130" unbalanced="0"/>
    <cacheHierarchy uniqueName="[projectdata4].[Occupation]" caption="Occupation" attribute="1" defaultMemberUniqueName="[projectdata4].[Occupation].[All]" allUniqueName="[projectdata4].[Occupation].[All]" dimensionUniqueName="[projectdata4]" displayFolder="" count="0" memberValueDatatype="130" unbalanced="0"/>
    <cacheHierarchy uniqueName="[projectdata4].[HomeOwner]" caption="HomeOwner" attribute="1" defaultMemberUniqueName="[projectdata4].[HomeOwner].[All]" allUniqueName="[projectdata4].[HomeOwner].[All]" dimensionUniqueName="[projectdata4]" displayFolder="" count="0" memberValueDatatype="130" unbalanced="0"/>
    <cacheHierarchy uniqueName="[projectdata4].[Region]" caption="Region" attribute="1" defaultMemberUniqueName="[projectdata4].[Region].[All]" allUniqueName="[projectdata4].[Region].[All]" dimensionUniqueName="[projectdata4]" displayFolder="" count="2" memberValueDatatype="130" unbalanced="0"/>
    <cacheHierarchy uniqueName="[projectdata4].[Age]" caption="Age" attribute="1" defaultMemberUniqueName="[projectdata4].[Age].[All]" allUniqueName="[projectdata4].[Age].[All]" dimensionUniqueName="[projectdata4]" displayFolder="" count="0" memberValueDatatype="20" unbalanced="0"/>
    <cacheHierarchy uniqueName="[projectdata4].[Ages types]" caption="Ages types" attribute="1" defaultMemberUniqueName="[projectdata4].[Ages types].[All]" allUniqueName="[projectdata4].[Ages types].[All]" dimensionUniqueName="[projectdata4]" displayFolder="" count="2" memberValueDatatype="130" unbalanced="0">
      <fieldsUsage count="2">
        <fieldUsage x="-1"/>
        <fieldUsage x="0"/>
      </fieldsUsage>
    </cacheHierarchy>
    <cacheHierarchy uniqueName="[projectdata4].[comute distance]" caption="comute distance" attribute="1" defaultMemberUniqueName="[projectdata4].[comute distance].[All]" allUniqueName="[projectdata4].[comute distance].[All]" dimensionUniqueName="[projectdata4]" displayFolder="" count="0" memberValueDatatype="130" unbalanced="0"/>
    <cacheHierarchy uniqueName="[projectdata4].[PurchasedBike]" caption="PurchasedBike" attribute="1" defaultMemberUniqueName="[projectdata4].[PurchasedBike].[All]" allUniqueName="[projectdata4].[PurchasedBike].[All]" dimensionUniqueName="[projectdata4]" displayFolder="" count="2" memberValueDatatype="130" unbalanced="0">
      <fieldsUsage count="2">
        <fieldUsage x="-1"/>
        <fieldUsage x="2"/>
      </fieldsUsage>
    </cacheHierarchy>
    <cacheHierarchy uniqueName="[Measures].[__XL_Count projectdata4]" caption="__XL_Count projectdata4" measure="1" displayFolder="" measureGroup="projectdata4" count="0" hidden="1"/>
    <cacheHierarchy uniqueName="[Measures].[__No measures defined]" caption="__No measures defined" measure="1" displayFolder="" count="0" hidden="1"/>
    <cacheHierarchy uniqueName="[Measures].[Count of PurchasedBike]" caption="Count of PurchasedBike" measure="1" displayFolder="" measureGroup="projectdata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Income]" caption="Sum of Income" measure="1" displayFolder="" measureGroup="projectdata4"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projectdata4"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jectdata4" uniqueName="[projectdata4]" caption="projectdata4"/>
  </dimensions>
  <measureGroups count="1">
    <measureGroup name="projectdata4" caption="projectdata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3.494160069444" backgroundQuery="1" createdVersion="3" refreshedVersion="8" minRefreshableVersion="3" recordCount="0" supportSubquery="1" supportAdvancedDrill="1" xr:uid="{40DE708F-BD35-40DE-A4D3-0E2F2DCD8C9F}">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projectdata4].[ID]" caption="ID" attribute="1" defaultMemberUniqueName="[projectdata4].[ID].[All]" allUniqueName="[projectdata4].[ID].[All]" dimensionUniqueName="[projectdata4]" displayFolder="" count="0" memberValueDatatype="20" unbalanced="0"/>
    <cacheHierarchy uniqueName="[projectdata4].[MaritalStatus]" caption="MaritalStatus" attribute="1" defaultMemberUniqueName="[projectdata4].[MaritalStatus].[All]" allUniqueName="[projectdata4].[MaritalStatus].[All]" dimensionUniqueName="[projectdata4]" displayFolder="" count="2" memberValueDatatype="130" unbalanced="0"/>
    <cacheHierarchy uniqueName="[projectdata4].[gender]" caption="gender" attribute="1" defaultMemberUniqueName="[projectdata4].[gender].[All]" allUniqueName="[projectdata4].[gender].[All]" dimensionUniqueName="[projectdata4]" displayFolder="" count="0" memberValueDatatype="130" unbalanced="0"/>
    <cacheHierarchy uniqueName="[projectdata4].[Income]" caption="Income" attribute="1" defaultMemberUniqueName="[projectdata4].[Income].[All]" allUniqueName="[projectdata4].[Income].[All]" dimensionUniqueName="[projectdata4]" displayFolder="" count="0" memberValueDatatype="20" unbalanced="0"/>
    <cacheHierarchy uniqueName="[projectdata4].[Children]" caption="Children" attribute="1" defaultMemberUniqueName="[projectdata4].[Children].[All]" allUniqueName="[projectdata4].[Children].[All]" dimensionUniqueName="[projectdata4]" displayFolder="" count="0" memberValueDatatype="20" unbalanced="0"/>
    <cacheHierarchy uniqueName="[projectdata4].[Education]" caption="Education" attribute="1" defaultMemberUniqueName="[projectdata4].[Education].[All]" allUniqueName="[projectdata4].[Education].[All]" dimensionUniqueName="[projectdata4]" displayFolder="" count="2" memberValueDatatype="130" unbalanced="0"/>
    <cacheHierarchy uniqueName="[projectdata4].[Occupation]" caption="Occupation" attribute="1" defaultMemberUniqueName="[projectdata4].[Occupation].[All]" allUniqueName="[projectdata4].[Occupation].[All]" dimensionUniqueName="[projectdata4]" displayFolder="" count="0" memberValueDatatype="130" unbalanced="0"/>
    <cacheHierarchy uniqueName="[projectdata4].[HomeOwner]" caption="HomeOwner" attribute="1" defaultMemberUniqueName="[projectdata4].[HomeOwner].[All]" allUniqueName="[projectdata4].[HomeOwner].[All]" dimensionUniqueName="[projectdata4]" displayFolder="" count="0" memberValueDatatype="130" unbalanced="0"/>
    <cacheHierarchy uniqueName="[projectdata4].[Region]" caption="Region" attribute="1" defaultMemberUniqueName="[projectdata4].[Region].[All]" allUniqueName="[projectdata4].[Region].[All]" dimensionUniqueName="[projectdata4]" displayFolder="" count="2" memberValueDatatype="130" unbalanced="0"/>
    <cacheHierarchy uniqueName="[projectdata4].[Age]" caption="Age" attribute="1" defaultMemberUniqueName="[projectdata4].[Age].[All]" allUniqueName="[projectdata4].[Age].[All]" dimensionUniqueName="[projectdata4]" displayFolder="" count="0" memberValueDatatype="20" unbalanced="0"/>
    <cacheHierarchy uniqueName="[projectdata4].[Ages types]" caption="Ages types" attribute="1" defaultMemberUniqueName="[projectdata4].[Ages types].[All]" allUniqueName="[projectdata4].[Ages types].[All]" dimensionUniqueName="[projectdata4]" displayFolder="" count="0" memberValueDatatype="130" unbalanced="0"/>
    <cacheHierarchy uniqueName="[projectdata4].[comute distance]" caption="comute distance" attribute="1" defaultMemberUniqueName="[projectdata4].[comute distance].[All]" allUniqueName="[projectdata4].[comute distance].[All]" dimensionUniqueName="[projectdata4]" displayFolder="" count="0" memberValueDatatype="130" unbalanced="0"/>
    <cacheHierarchy uniqueName="[projectdata4].[PurchasedBike]" caption="PurchasedBike" attribute="1" defaultMemberUniqueName="[projectdata4].[PurchasedBike].[All]" allUniqueName="[projectdata4].[PurchasedBike].[All]" dimensionUniqueName="[projectdata4]" displayFolder="" count="0" memberValueDatatype="130" unbalanced="0"/>
    <cacheHierarchy uniqueName="[Measures].[__XL_Count projectdata4]" caption="__XL_Count projectdata4" measure="1" displayFolder="" measureGroup="projectdata4" count="0" hidden="1"/>
    <cacheHierarchy uniqueName="[Measures].[__No measures defined]" caption="__No measures defined" measure="1" displayFolder="" count="0" hidden="1"/>
    <cacheHierarchy uniqueName="[Measures].[Count of PurchasedBike]" caption="Count of PurchasedBike" measure="1" displayFolder="" measureGroup="projectdata4" count="0" hidden="1">
      <extLst>
        <ext xmlns:x15="http://schemas.microsoft.com/office/spreadsheetml/2010/11/main" uri="{B97F6D7D-B522-45F9-BDA1-12C45D357490}">
          <x15:cacheHierarchy aggregatedColumn="12"/>
        </ext>
      </extLst>
    </cacheHierarchy>
    <cacheHierarchy uniqueName="[Measures].[Sum of Income]" caption="Sum of Income" measure="1" displayFolder="" measureGroup="projectdata4"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projectdata4"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3308082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1A43E-EF9A-4921-AC0D-3AF96B3E9A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D8"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Average of Income" fld="2" subtotal="average"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0"/>
          </reference>
        </references>
      </pivotArea>
    </chartFormat>
    <chartFormat chart="5" format="3"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1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excel.xlsx!projectdata4">
        <x15:activeTabTopLevelEntity name="[projectdata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77DF9F-9EC3-46DF-901C-B9D881C74124}"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8:D43"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Count of PurchasedBike" fld="1" subtotal="count" baseField="0" baseItem="0"/>
  </dataFields>
  <chartFormats count="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excel.xlsx!projectdata4">
        <x15:activeTabTopLevelEntity name="[projectdata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5D757-F536-497A-AEB0-CA1C68032222}"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4:D31"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name="Count of PurchasedBike" fld="1" subtotal="count" baseField="0" baseItem="0"/>
  </dataFields>
  <chartFormats count="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excel.xlsx!projectdata4">
        <x15:activeTabTopLevelEntity name="[projectdata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D9B550DE-B686-4AA9-B3D0-3466E50DA727}" sourceName="[projectdata4].[MaritalStatus]">
  <pivotTables>
    <pivotTable tabId="3" name="PivotTable4"/>
    <pivotTable tabId="3" name="PivotTable1"/>
    <pivotTable tabId="3" name="PivotTable2"/>
  </pivotTables>
  <data>
    <olap pivotCacheId="330808294">
      <levels count="2">
        <level uniqueName="[projectdata4].[MaritalStatus].[(All)]" sourceCaption="(All)" count="0"/>
        <level uniqueName="[projectdata4].[MaritalStatus].[MaritalStatus]" sourceCaption="MaritalStatus" count="2">
          <ranges>
            <range startItem="0">
              <i n="[projectdata4].[MaritalStatus].&amp;[Married]" c="Married"/>
              <i n="[projectdata4].[MaritalStatus].&amp;[Single]" c="Single"/>
            </range>
          </ranges>
        </level>
      </levels>
      <selections count="1">
        <selection n="[projectdata4].[Marital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FC0111-2F16-4EB9-80C5-06C87B2805D7}" sourceName="[projectdata4].[Region]">
  <pivotTables>
    <pivotTable tabId="3" name="PivotTable1"/>
    <pivotTable tabId="3" name="PivotTable2"/>
    <pivotTable tabId="3" name="PivotTable4"/>
  </pivotTables>
  <data>
    <olap pivotCacheId="330808294">
      <levels count="2">
        <level uniqueName="[projectdata4].[Region].[(All)]" sourceCaption="(All)" count="0"/>
        <level uniqueName="[projectdata4].[Region].[Region]" sourceCaption="Region" count="4">
          <ranges>
            <range startItem="0">
              <i n="[projectdata4].[Region].&amp;[East]" c="East"/>
              <i n="[projectdata4].[Region].&amp;[North]" c="North"/>
              <i n="[projectdata4].[Region].&amp;[South]" c="South"/>
              <i n="[projectdata4].[Region].&amp;[West]" c="West"/>
            </range>
          </ranges>
        </level>
      </levels>
      <selections count="1">
        <selection n="[projectdata4].[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C09FA5-092E-43A5-B142-3130280D5831}" sourceName="[projectdata4].[Education]">
  <pivotTables>
    <pivotTable tabId="3" name="PivotTable4"/>
  </pivotTables>
  <data>
    <olap pivotCacheId="330808294">
      <levels count="2">
        <level uniqueName="[projectdata4].[Education].[(All)]" sourceCaption="(All)" count="0"/>
        <level uniqueName="[projectdata4].[Education].[Education]" sourceCaption="Education" count="5">
          <ranges>
            <range startItem="0">
              <i n="[projectdata4].[Education].&amp;[10th]" c="10th"/>
              <i n="[projectdata4].[Education].&amp;[12th]" c="12th"/>
              <i n="[projectdata4].[Education].&amp;[Diploma]" c="Diploma"/>
              <i n="[projectdata4].[Education].&amp;[Graduate]" c="Graduate"/>
              <i n="[projectdata4].[Education].&amp;[Postgraduate]" c="Postgraduate"/>
            </range>
          </ranges>
        </level>
      </levels>
      <selections count="1">
        <selection n="[projectdata4].[Edu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984D5B0E-DEBB-46B0-9143-016FB2C3C812}" cache="Slicer_MaritalStatus" caption="MaritalStatus" level="1" rowHeight="288000"/>
  <slicer name="Region" xr10:uid="{FCF6536E-B382-47AA-90D9-2473717D7EC8}" cache="Slicer_Region" caption="Region" level="1" rowHeight="288000"/>
  <slicer name="Education" xr10:uid="{BF65617B-E229-4AF2-8863-BB40FC91B9D0}" cache="Slicer_Education" caption="Education" level="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EC3235-75A8-4090-9E36-4DF6C5707BD0}" name="projectdata" displayName="projectdata" ref="A1:L19" totalsRowShown="0">
  <autoFilter ref="A1:L19" xr:uid="{6FEC3235-75A8-4090-9E36-4DF6C5707BD0}"/>
  <tableColumns count="12">
    <tableColumn id="1" xr3:uid="{AD74408E-E10A-4625-A9DB-868E7F3876B2}" name="ID"/>
    <tableColumn id="2" xr3:uid="{5D49E0E2-0FA3-46F3-9C04-50DE84061683}" name="MaritalStatus"/>
    <tableColumn id="3" xr3:uid="{2DBCA347-8E58-47F2-8BAC-12CF9492E070}" name="Income"/>
    <tableColumn id="4" xr3:uid="{C2ECD4F8-F24B-4EE7-8ED7-8058A03E04E3}" name="Children"/>
    <tableColumn id="5" xr3:uid="{7CD68508-C12C-406E-AB7C-840123B65F69}" name="Education"/>
    <tableColumn id="6" xr3:uid="{C8D25756-DE05-4296-A38C-B7C9E260B79A}" name="Occupation"/>
    <tableColumn id="7" xr3:uid="{EB9CFB59-079E-4B98-A2F7-939B249FFBD5}" name="HomeOwner"/>
    <tableColumn id="8" xr3:uid="{AB3147AA-20E6-4211-ABB2-FC69B5A39505}" name="Region"/>
    <tableColumn id="9" xr3:uid="{171D7EFD-4C52-4127-ADE1-F0B68B6A640D}" name="Age"/>
    <tableColumn id="11" xr3:uid="{DA52BDF6-6EDB-46AF-8801-6B6A02638AC5}" name="Ages types" dataDxfId="1">
      <calculatedColumnFormula>IF(projectdata[[#This Row],[Age]]&lt;21,"young","invalid")</calculatedColumnFormula>
    </tableColumn>
    <tableColumn id="12" xr3:uid="{81AE3CCF-5748-4F56-B4CB-19C8D533BE32}" name="comute distance"/>
    <tableColumn id="10" xr3:uid="{AF69BE8F-723C-4A3F-866B-2EAD0B8FE221}" name="PurchasedBik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E76861-D4AF-4478-8A08-BD36E448332B}" name="projectdata4" displayName="projectdata4" ref="A1:M16" totalsRowShown="0">
  <autoFilter ref="A1:M16" xr:uid="{09E76861-D4AF-4478-8A08-BD36E448332B}"/>
  <tableColumns count="13">
    <tableColumn id="1" xr3:uid="{80C003BB-6D6F-455A-BFB9-F859930390C7}" name="ID"/>
    <tableColumn id="2" xr3:uid="{2A64AA24-EB32-466C-A93C-EE220EECCF32}" name="MaritalStatus"/>
    <tableColumn id="3" xr3:uid="{B667118F-F7F9-407E-A9B1-D518636C4396}" name="gender"/>
    <tableColumn id="4" xr3:uid="{479E090C-CAC5-4F41-8ACC-1BBA26C64639}" name="Income"/>
    <tableColumn id="5" xr3:uid="{AFBB7980-082E-4571-A97D-BCD137047420}" name="Children"/>
    <tableColumn id="6" xr3:uid="{866BF085-D193-4D3A-BFEC-2C16C2E35C77}" name="Education"/>
    <tableColumn id="7" xr3:uid="{A588A0C9-E259-408D-926D-B737F512B793}" name="Occupation"/>
    <tableColumn id="8" xr3:uid="{7DBF42AA-1B4C-457D-B020-8F5EF589D0AF}" name="HomeOwner"/>
    <tableColumn id="9" xr3:uid="{28976E7E-B7B7-41AD-8F68-42FE0E77EF8A}" name="Region"/>
    <tableColumn id="10" xr3:uid="{9E752F5D-C101-4F54-9D5C-160BE60C9372}" name="Age"/>
    <tableColumn id="11" xr3:uid="{A9223185-BF4E-4BC0-8AFF-D43376EA7903}" name="Ages types" dataDxfId="0">
      <calculatedColumnFormula>IF(projectdata4[[#This Row],[Age]]&lt;22,"young(1-20)",IF(projectdata4[[#This Row],[Age]]&gt;35,"old(&lt;35)","middle age(21-35)"))</calculatedColumnFormula>
    </tableColumn>
    <tableColumn id="12" xr3:uid="{604FAD31-9AE4-4875-8986-0C3DDDF72758}" name="comute distance"/>
    <tableColumn id="13" xr3:uid="{0F5F6AD3-256C-43B2-81DA-652FE9B9232B}" name="PurchasedBik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zoomScale="63" workbookViewId="0">
      <selection activeCell="O11" sqref="O11"/>
    </sheetView>
  </sheetViews>
  <sheetFormatPr defaultRowHeight="14.4" x14ac:dyDescent="0.3"/>
  <cols>
    <col min="1" max="1" width="6.77734375" bestFit="1" customWidth="1"/>
    <col min="2" max="2" width="17.88671875" bestFit="1" customWidth="1"/>
    <col min="3" max="3" width="11.77734375" bestFit="1" customWidth="1"/>
    <col min="4" max="4" width="12.77734375" bestFit="1" customWidth="1"/>
    <col min="5" max="5" width="14.21875" bestFit="1" customWidth="1"/>
    <col min="6" max="6" width="15.44140625" bestFit="1" customWidth="1"/>
    <col min="7" max="7" width="16.5546875" bestFit="1" customWidth="1"/>
    <col min="8" max="8" width="11.44140625" bestFit="1" customWidth="1"/>
    <col min="9" max="9" width="8.21875" bestFit="1" customWidth="1"/>
    <col min="10" max="10" width="14.88671875" bestFit="1" customWidth="1"/>
    <col min="11" max="11" width="20.77734375" bestFit="1" customWidth="1"/>
    <col min="12" max="12" width="19" bestFit="1" customWidth="1"/>
  </cols>
  <sheetData>
    <row r="1" spans="1:12" x14ac:dyDescent="0.3">
      <c r="A1" t="s">
        <v>0</v>
      </c>
      <c r="B1" t="s">
        <v>1</v>
      </c>
      <c r="C1" t="s">
        <v>2</v>
      </c>
      <c r="D1" t="s">
        <v>3</v>
      </c>
      <c r="E1" t="s">
        <v>4</v>
      </c>
      <c r="F1" t="s">
        <v>5</v>
      </c>
      <c r="G1" t="s">
        <v>6</v>
      </c>
      <c r="H1" t="s">
        <v>7</v>
      </c>
      <c r="I1" t="s">
        <v>8</v>
      </c>
      <c r="J1" t="s">
        <v>38</v>
      </c>
      <c r="K1" t="s">
        <v>46</v>
      </c>
      <c r="L1" t="s">
        <v>9</v>
      </c>
    </row>
    <row r="2" spans="1:12" x14ac:dyDescent="0.3">
      <c r="A2">
        <v>1</v>
      </c>
      <c r="B2" t="s">
        <v>10</v>
      </c>
      <c r="C2">
        <v>32000</v>
      </c>
      <c r="D2">
        <v>0</v>
      </c>
      <c r="E2" t="s">
        <v>11</v>
      </c>
      <c r="F2" t="s">
        <v>12</v>
      </c>
      <c r="G2" t="s">
        <v>13</v>
      </c>
      <c r="H2" t="s">
        <v>14</v>
      </c>
      <c r="I2">
        <v>20</v>
      </c>
      <c r="J2" t="str">
        <f>IF(projectdata[[#This Row],[Age]]&gt;40,"old",IF(projectdata[[#This Row],[Age]]&gt;20,"middle age",IF(projectdata[[#This Row],[Age]]&lt;21,"young","invalid")))</f>
        <v>young</v>
      </c>
      <c r="K2" t="s">
        <v>47</v>
      </c>
      <c r="L2" t="s">
        <v>13</v>
      </c>
    </row>
    <row r="3" spans="1:12" x14ac:dyDescent="0.3">
      <c r="A3">
        <v>2</v>
      </c>
      <c r="B3" t="s">
        <v>15</v>
      </c>
      <c r="C3">
        <v>85000</v>
      </c>
      <c r="D3">
        <v>2</v>
      </c>
      <c r="E3" t="s">
        <v>16</v>
      </c>
      <c r="F3" t="s">
        <v>17</v>
      </c>
      <c r="G3" t="s">
        <v>18</v>
      </c>
      <c r="H3" t="s">
        <v>19</v>
      </c>
      <c r="I3">
        <v>34</v>
      </c>
      <c r="J3" t="str">
        <f>IF(projectdata[[#This Row],[Age]]&gt;40,"old",IF(projectdata[[#This Row],[Age]]&gt;20,"middle age",IF(projectdata[[#This Row],[Age]]&lt;21,"young","invalid")))</f>
        <v>middle age</v>
      </c>
      <c r="K3" t="s">
        <v>47</v>
      </c>
      <c r="L3" t="s">
        <v>18</v>
      </c>
    </row>
    <row r="4" spans="1:12" x14ac:dyDescent="0.3">
      <c r="A4">
        <v>3</v>
      </c>
      <c r="B4" t="s">
        <v>15</v>
      </c>
      <c r="C4">
        <v>56000</v>
      </c>
      <c r="D4">
        <v>1</v>
      </c>
      <c r="E4" t="s">
        <v>16</v>
      </c>
      <c r="F4" t="s">
        <v>20</v>
      </c>
      <c r="G4" t="s">
        <v>18</v>
      </c>
      <c r="H4" t="s">
        <v>21</v>
      </c>
      <c r="I4">
        <v>29</v>
      </c>
      <c r="J4" t="str">
        <f>IF(projectdata[[#This Row],[Age]]&gt;40,"old",IF(projectdata[[#This Row],[Age]]&gt;20,"middle age",IF(projectdata[[#This Row],[Age]]&lt;21,"young","invalid")))</f>
        <v>middle age</v>
      </c>
      <c r="K4" t="s">
        <v>47</v>
      </c>
      <c r="L4" t="s">
        <v>13</v>
      </c>
    </row>
    <row r="5" spans="1:12" x14ac:dyDescent="0.3">
      <c r="A5">
        <v>4</v>
      </c>
      <c r="B5" t="s">
        <v>10</v>
      </c>
      <c r="C5">
        <v>28000</v>
      </c>
      <c r="D5">
        <v>0</v>
      </c>
      <c r="E5" t="s">
        <v>22</v>
      </c>
      <c r="F5" t="s">
        <v>23</v>
      </c>
      <c r="G5" t="s">
        <v>13</v>
      </c>
      <c r="H5" t="s">
        <v>24</v>
      </c>
      <c r="I5">
        <v>21</v>
      </c>
      <c r="J5" t="str">
        <f>IF(projectdata[[#This Row],[Age]]&gt;40,"old",IF(projectdata[[#This Row],[Age]]&gt;20,"middle age",IF(projectdata[[#This Row],[Age]]&lt;21,"young","invalid")))</f>
        <v>middle age</v>
      </c>
      <c r="K5" t="s">
        <v>47</v>
      </c>
      <c r="L5" t="s">
        <v>13</v>
      </c>
    </row>
    <row r="6" spans="1:12" x14ac:dyDescent="0.3">
      <c r="A6">
        <v>5</v>
      </c>
      <c r="B6" t="s">
        <v>15</v>
      </c>
      <c r="C6">
        <v>120000</v>
      </c>
      <c r="D6">
        <v>3</v>
      </c>
      <c r="E6" t="s">
        <v>25</v>
      </c>
      <c r="F6" t="s">
        <v>26</v>
      </c>
      <c r="G6" t="s">
        <v>18</v>
      </c>
      <c r="H6" t="s">
        <v>14</v>
      </c>
      <c r="I6">
        <v>45</v>
      </c>
      <c r="J6" t="str">
        <f>IF(projectdata[[#This Row],[Age]]&gt;40,"old",IF(projectdata[[#This Row],[Age]]&gt;20,"middle age",IF(projectdata[[#This Row],[Age]]&lt;21,"young","invalid")))</f>
        <v>old</v>
      </c>
      <c r="K6" t="s">
        <v>47</v>
      </c>
      <c r="L6" t="s">
        <v>18</v>
      </c>
    </row>
    <row r="7" spans="1:12" x14ac:dyDescent="0.3">
      <c r="A7">
        <v>6</v>
      </c>
      <c r="B7" t="s">
        <v>10</v>
      </c>
      <c r="C7">
        <v>45000</v>
      </c>
      <c r="D7">
        <v>0</v>
      </c>
      <c r="E7" t="s">
        <v>16</v>
      </c>
      <c r="F7" t="s">
        <v>27</v>
      </c>
      <c r="G7" t="s">
        <v>13</v>
      </c>
      <c r="H7" t="s">
        <v>19</v>
      </c>
      <c r="I7">
        <v>12</v>
      </c>
      <c r="J7" t="str">
        <f>IF(projectdata[[#This Row],[Age]]&gt;40,"old",IF(projectdata[[#This Row],[Age]]&gt;20,"middle age",IF(projectdata[[#This Row],[Age]]&lt;21,"young","invalid")))</f>
        <v>young</v>
      </c>
      <c r="K7" t="s">
        <v>47</v>
      </c>
      <c r="L7" t="s">
        <v>18</v>
      </c>
    </row>
    <row r="8" spans="1:12" x14ac:dyDescent="0.3">
      <c r="A8">
        <v>7</v>
      </c>
      <c r="B8" t="s">
        <v>15</v>
      </c>
      <c r="C8">
        <v>67000</v>
      </c>
      <c r="D8">
        <v>2</v>
      </c>
      <c r="E8" t="s">
        <v>16</v>
      </c>
      <c r="F8" t="s">
        <v>28</v>
      </c>
      <c r="G8" t="s">
        <v>18</v>
      </c>
      <c r="H8" t="s">
        <v>21</v>
      </c>
      <c r="I8">
        <v>36</v>
      </c>
      <c r="J8" t="str">
        <f>IF(projectdata[[#This Row],[Age]]&gt;40,"old",IF(projectdata[[#This Row],[Age]]&gt;20,"middle age",IF(projectdata[[#This Row],[Age]]&lt;21,"young","invalid")))</f>
        <v>middle age</v>
      </c>
      <c r="K8" t="s">
        <v>47</v>
      </c>
      <c r="L8" t="s">
        <v>13</v>
      </c>
    </row>
    <row r="9" spans="1:12" x14ac:dyDescent="0.3">
      <c r="A9">
        <v>8</v>
      </c>
      <c r="B9" t="s">
        <v>10</v>
      </c>
      <c r="C9">
        <v>30000</v>
      </c>
      <c r="D9">
        <v>0</v>
      </c>
      <c r="E9" t="s">
        <v>11</v>
      </c>
      <c r="F9" t="s">
        <v>29</v>
      </c>
      <c r="G9" t="s">
        <v>13</v>
      </c>
      <c r="H9" t="s">
        <v>24</v>
      </c>
      <c r="I9">
        <v>23</v>
      </c>
      <c r="J9" t="str">
        <f>IF(projectdata[[#This Row],[Age]]&gt;40,"old",IF(projectdata[[#This Row],[Age]]&gt;20,"middle age",IF(projectdata[[#This Row],[Age]]&lt;21,"young","invalid")))</f>
        <v>middle age</v>
      </c>
      <c r="K9" t="s">
        <v>47</v>
      </c>
      <c r="L9" t="s">
        <v>13</v>
      </c>
    </row>
    <row r="10" spans="1:12" x14ac:dyDescent="0.3">
      <c r="A10">
        <v>9</v>
      </c>
      <c r="B10" t="s">
        <v>15</v>
      </c>
      <c r="C10">
        <v>95000</v>
      </c>
      <c r="D10">
        <v>1</v>
      </c>
      <c r="E10" t="s">
        <v>25</v>
      </c>
      <c r="F10" t="s">
        <v>30</v>
      </c>
      <c r="G10" t="s">
        <v>18</v>
      </c>
      <c r="H10" t="s">
        <v>14</v>
      </c>
      <c r="I10">
        <v>59</v>
      </c>
      <c r="J10" t="str">
        <f>IF(projectdata[[#This Row],[Age]]&gt;40,"old",IF(projectdata[[#This Row],[Age]]&gt;20,"middle age",IF(projectdata[[#This Row],[Age]]&lt;21,"young","invalid")))</f>
        <v>old</v>
      </c>
      <c r="K10" t="s">
        <v>47</v>
      </c>
      <c r="L10" t="s">
        <v>18</v>
      </c>
    </row>
    <row r="11" spans="1:12" x14ac:dyDescent="0.3">
      <c r="A11">
        <v>10</v>
      </c>
      <c r="B11" t="s">
        <v>10</v>
      </c>
      <c r="C11">
        <v>52000</v>
      </c>
      <c r="D11">
        <v>0</v>
      </c>
      <c r="E11" t="s">
        <v>16</v>
      </c>
      <c r="F11" t="s">
        <v>31</v>
      </c>
      <c r="G11" t="s">
        <v>13</v>
      </c>
      <c r="H11" t="s">
        <v>19</v>
      </c>
      <c r="I11">
        <v>27</v>
      </c>
      <c r="J11" t="str">
        <f>IF(projectdata[[#This Row],[Age]]&gt;40,"old",IF(projectdata[[#This Row],[Age]]&gt;20,"middle age",IF(projectdata[[#This Row],[Age]]&lt;21,"young","invalid")))</f>
        <v>middle age</v>
      </c>
      <c r="K11" t="s">
        <v>47</v>
      </c>
      <c r="L11" t="s">
        <v>18</v>
      </c>
    </row>
    <row r="12" spans="1:12" x14ac:dyDescent="0.3">
      <c r="A12">
        <v>11</v>
      </c>
      <c r="B12" t="s">
        <v>15</v>
      </c>
      <c r="C12">
        <v>40000</v>
      </c>
      <c r="D12">
        <v>2</v>
      </c>
      <c r="E12" t="s">
        <v>22</v>
      </c>
      <c r="F12" t="s">
        <v>32</v>
      </c>
      <c r="G12" t="s">
        <v>18</v>
      </c>
      <c r="H12" t="s">
        <v>21</v>
      </c>
      <c r="I12">
        <v>35</v>
      </c>
      <c r="J12" t="str">
        <f>IF(projectdata[[#This Row],[Age]]&gt;40,"old",IF(projectdata[[#This Row],[Age]]&gt;20,"middle age",IF(projectdata[[#This Row],[Age]]&lt;21,"young","invalid")))</f>
        <v>middle age</v>
      </c>
      <c r="K12" t="s">
        <v>47</v>
      </c>
      <c r="L12" t="s">
        <v>13</v>
      </c>
    </row>
    <row r="13" spans="1:12" x14ac:dyDescent="0.3">
      <c r="A13">
        <v>12</v>
      </c>
      <c r="B13" t="s">
        <v>10</v>
      </c>
      <c r="C13">
        <v>60000</v>
      </c>
      <c r="D13">
        <v>0</v>
      </c>
      <c r="E13" t="s">
        <v>16</v>
      </c>
      <c r="F13" t="s">
        <v>33</v>
      </c>
      <c r="G13" t="s">
        <v>13</v>
      </c>
      <c r="H13" t="s">
        <v>24</v>
      </c>
      <c r="I13">
        <v>25</v>
      </c>
      <c r="J13" t="str">
        <f>IF(projectdata[[#This Row],[Age]]&gt;40,"old",IF(projectdata[[#This Row],[Age]]&gt;20,"middle age",IF(projectdata[[#This Row],[Age]]&lt;21,"young","invalid")))</f>
        <v>middle age</v>
      </c>
      <c r="K13" t="s">
        <v>47</v>
      </c>
      <c r="L13" t="s">
        <v>18</v>
      </c>
    </row>
    <row r="14" spans="1:12" x14ac:dyDescent="0.3">
      <c r="A14">
        <v>13</v>
      </c>
      <c r="B14" t="s">
        <v>15</v>
      </c>
      <c r="C14">
        <v>78000</v>
      </c>
      <c r="D14">
        <v>2</v>
      </c>
      <c r="E14" t="s">
        <v>16</v>
      </c>
      <c r="F14" t="s">
        <v>34</v>
      </c>
      <c r="G14" t="s">
        <v>18</v>
      </c>
      <c r="H14" t="s">
        <v>14</v>
      </c>
      <c r="I14">
        <v>33</v>
      </c>
      <c r="J14" t="str">
        <f>IF(projectdata[[#This Row],[Age]]&gt;40,"old",IF(projectdata[[#This Row],[Age]]&gt;20,"middle age",IF(projectdata[[#This Row],[Age]]&lt;21,"young","invalid")))</f>
        <v>middle age</v>
      </c>
      <c r="K14" t="s">
        <v>47</v>
      </c>
      <c r="L14" t="s">
        <v>18</v>
      </c>
    </row>
    <row r="15" spans="1:12" x14ac:dyDescent="0.3">
      <c r="A15">
        <v>14</v>
      </c>
      <c r="B15" t="s">
        <v>10</v>
      </c>
      <c r="C15">
        <v>26000</v>
      </c>
      <c r="D15">
        <v>0</v>
      </c>
      <c r="E15" t="s">
        <v>35</v>
      </c>
      <c r="F15" t="s">
        <v>36</v>
      </c>
      <c r="G15" t="s">
        <v>13</v>
      </c>
      <c r="H15" t="s">
        <v>19</v>
      </c>
      <c r="I15">
        <v>21</v>
      </c>
      <c r="J15" t="str">
        <f>IF(projectdata[[#This Row],[Age]]&gt;40,"old",IF(projectdata[[#This Row],[Age]]&gt;20,"middle age",IF(projectdata[[#This Row],[Age]]&lt;21,"young","invalid")))</f>
        <v>middle age</v>
      </c>
      <c r="K15" t="s">
        <v>47</v>
      </c>
      <c r="L15" t="s">
        <v>13</v>
      </c>
    </row>
    <row r="16" spans="1:12" x14ac:dyDescent="0.3">
      <c r="A16">
        <v>15</v>
      </c>
      <c r="B16" t="s">
        <v>15</v>
      </c>
      <c r="C16">
        <v>110000</v>
      </c>
      <c r="D16">
        <v>2</v>
      </c>
      <c r="E16" t="s">
        <v>25</v>
      </c>
      <c r="F16" t="s">
        <v>37</v>
      </c>
      <c r="G16" t="s">
        <v>18</v>
      </c>
      <c r="H16" t="s">
        <v>24</v>
      </c>
      <c r="I16">
        <v>69</v>
      </c>
      <c r="J16" t="str">
        <f>IF(projectdata[[#This Row],[Age]]&gt;40,"old",IF(projectdata[[#This Row],[Age]]&gt;20,"middle age",IF(projectdata[[#This Row],[Age]]&lt;21,"young","invalid")))</f>
        <v>old</v>
      </c>
      <c r="K16" t="s">
        <v>47</v>
      </c>
      <c r="L16"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C11B-1A16-4832-AA84-8EE1DA7506CE}">
  <dimension ref="A1:M16"/>
  <sheetViews>
    <sheetView tabSelected="1" topLeftCell="C1" workbookViewId="0">
      <selection activeCell="P12" sqref="P12"/>
    </sheetView>
  </sheetViews>
  <sheetFormatPr defaultRowHeight="14.4" x14ac:dyDescent="0.3"/>
  <cols>
    <col min="2" max="2" width="14.109375" customWidth="1"/>
    <col min="4" max="4" width="9.21875" customWidth="1"/>
    <col min="5" max="5" width="9.88671875" customWidth="1"/>
    <col min="6" max="6" width="11.33203125" customWidth="1"/>
    <col min="7" max="7" width="12.5546875" customWidth="1"/>
    <col min="8" max="8" width="13.44140625" customWidth="1"/>
    <col min="11" max="11" width="19" customWidth="1"/>
    <col min="12" max="12" width="16.77734375" customWidth="1"/>
    <col min="13" max="13" width="15.21875" customWidth="1"/>
  </cols>
  <sheetData>
    <row r="1" spans="1:13" x14ac:dyDescent="0.3">
      <c r="A1" t="s">
        <v>0</v>
      </c>
      <c r="B1" t="s">
        <v>1</v>
      </c>
      <c r="C1" t="s">
        <v>39</v>
      </c>
      <c r="D1" t="s">
        <v>2</v>
      </c>
      <c r="E1" t="s">
        <v>3</v>
      </c>
      <c r="F1" t="s">
        <v>4</v>
      </c>
      <c r="G1" t="s">
        <v>5</v>
      </c>
      <c r="H1" t="s">
        <v>6</v>
      </c>
      <c r="I1" t="s">
        <v>7</v>
      </c>
      <c r="J1" t="s">
        <v>8</v>
      </c>
      <c r="K1" t="s">
        <v>38</v>
      </c>
      <c r="L1" t="s">
        <v>46</v>
      </c>
      <c r="M1" t="s">
        <v>9</v>
      </c>
    </row>
    <row r="2" spans="1:13" x14ac:dyDescent="0.3">
      <c r="A2">
        <v>1</v>
      </c>
      <c r="B2" t="s">
        <v>10</v>
      </c>
      <c r="C2" t="s">
        <v>44</v>
      </c>
      <c r="D2">
        <v>3200</v>
      </c>
      <c r="E2">
        <v>0</v>
      </c>
      <c r="F2" t="s">
        <v>11</v>
      </c>
      <c r="G2" t="s">
        <v>12</v>
      </c>
      <c r="H2" t="s">
        <v>13</v>
      </c>
      <c r="I2" t="s">
        <v>14</v>
      </c>
      <c r="J2">
        <v>36</v>
      </c>
      <c r="K2" t="str">
        <f>IF(projectdata4[[#This Row],[Age]]&lt;22,"young(1-20)",IF(projectdata4[[#This Row],[Age]]&gt;35,"old(&lt;35)","middle age(21-35)"))</f>
        <v>old(&lt;35)</v>
      </c>
      <c r="L2" t="s">
        <v>48</v>
      </c>
      <c r="M2" t="s">
        <v>13</v>
      </c>
    </row>
    <row r="3" spans="1:13" x14ac:dyDescent="0.3">
      <c r="A3">
        <v>2</v>
      </c>
      <c r="B3" t="s">
        <v>15</v>
      </c>
      <c r="C3" t="s">
        <v>45</v>
      </c>
      <c r="D3">
        <v>8500</v>
      </c>
      <c r="E3">
        <v>2</v>
      </c>
      <c r="F3" t="s">
        <v>16</v>
      </c>
      <c r="G3" t="s">
        <v>17</v>
      </c>
      <c r="H3" t="s">
        <v>18</v>
      </c>
      <c r="I3" t="s">
        <v>19</v>
      </c>
      <c r="J3">
        <v>34</v>
      </c>
      <c r="K3" t="str">
        <f>IF(projectdata4[[#This Row],[Age]]&lt;22,"young(1-20)",IF(projectdata4[[#This Row],[Age]]&gt;35,"old(&lt;35)","middle age(21-35)"))</f>
        <v>middle age(21-35)</v>
      </c>
      <c r="L3" t="s">
        <v>49</v>
      </c>
      <c r="M3" t="s">
        <v>18</v>
      </c>
    </row>
    <row r="4" spans="1:13" x14ac:dyDescent="0.3">
      <c r="A4">
        <v>3</v>
      </c>
      <c r="B4" t="s">
        <v>15</v>
      </c>
      <c r="C4" t="s">
        <v>44</v>
      </c>
      <c r="D4">
        <v>56000</v>
      </c>
      <c r="E4">
        <v>1</v>
      </c>
      <c r="F4" t="s">
        <v>16</v>
      </c>
      <c r="G4" t="s">
        <v>20</v>
      </c>
      <c r="H4" t="s">
        <v>18</v>
      </c>
      <c r="I4" t="s">
        <v>21</v>
      </c>
      <c r="J4">
        <v>29</v>
      </c>
      <c r="K4" t="str">
        <f>IF(projectdata4[[#This Row],[Age]]&lt;22,"young(1-20)",IF(projectdata4[[#This Row],[Age]]&gt;35,"old(&lt;35)","middle age(21-35)"))</f>
        <v>middle age(21-35)</v>
      </c>
      <c r="L4" t="s">
        <v>49</v>
      </c>
      <c r="M4" t="s">
        <v>13</v>
      </c>
    </row>
    <row r="5" spans="1:13" x14ac:dyDescent="0.3">
      <c r="A5">
        <v>4</v>
      </c>
      <c r="B5" t="s">
        <v>10</v>
      </c>
      <c r="C5" t="s">
        <v>45</v>
      </c>
      <c r="D5">
        <v>28000</v>
      </c>
      <c r="E5">
        <v>0</v>
      </c>
      <c r="F5" t="s">
        <v>22</v>
      </c>
      <c r="G5" t="s">
        <v>23</v>
      </c>
      <c r="H5" t="s">
        <v>13</v>
      </c>
      <c r="I5" t="s">
        <v>24</v>
      </c>
      <c r="J5">
        <v>21</v>
      </c>
      <c r="K5" t="str">
        <f>IF(projectdata4[[#This Row],[Age]]&lt;22,"young(1-20)",IF(projectdata4[[#This Row],[Age]]&gt;35,"old(&lt;35)","middle age(21-35)"))</f>
        <v>young(1-20)</v>
      </c>
      <c r="L5" t="s">
        <v>49</v>
      </c>
      <c r="M5" t="s">
        <v>13</v>
      </c>
    </row>
    <row r="6" spans="1:13" x14ac:dyDescent="0.3">
      <c r="A6">
        <v>5</v>
      </c>
      <c r="B6" t="s">
        <v>15</v>
      </c>
      <c r="C6" t="s">
        <v>44</v>
      </c>
      <c r="D6">
        <v>12000</v>
      </c>
      <c r="E6">
        <v>3</v>
      </c>
      <c r="F6" t="s">
        <v>25</v>
      </c>
      <c r="G6" t="s">
        <v>26</v>
      </c>
      <c r="H6" t="s">
        <v>18</v>
      </c>
      <c r="I6" t="s">
        <v>14</v>
      </c>
      <c r="J6">
        <v>45</v>
      </c>
      <c r="K6" t="str">
        <f>IF(projectdata4[[#This Row],[Age]]&lt;22,"young(1-20)",IF(projectdata4[[#This Row],[Age]]&gt;35,"old(&lt;35)","middle age(21-35)"))</f>
        <v>old(&lt;35)</v>
      </c>
      <c r="L6" t="s">
        <v>50</v>
      </c>
      <c r="M6" t="s">
        <v>18</v>
      </c>
    </row>
    <row r="7" spans="1:13" x14ac:dyDescent="0.3">
      <c r="A7">
        <v>6</v>
      </c>
      <c r="B7" t="s">
        <v>10</v>
      </c>
      <c r="C7" t="s">
        <v>45</v>
      </c>
      <c r="D7">
        <v>4500</v>
      </c>
      <c r="E7">
        <v>0</v>
      </c>
      <c r="F7" t="s">
        <v>16</v>
      </c>
      <c r="G7" t="s">
        <v>27</v>
      </c>
      <c r="H7" t="s">
        <v>13</v>
      </c>
      <c r="I7" t="s">
        <v>19</v>
      </c>
      <c r="J7">
        <v>12</v>
      </c>
      <c r="K7" t="str">
        <f>IF(projectdata4[[#This Row],[Age]]&lt;22,"young(1-20)",IF(projectdata4[[#This Row],[Age]]&gt;35,"old(&lt;35)","middle age(21-35)"))</f>
        <v>young(1-20)</v>
      </c>
      <c r="L7" t="s">
        <v>50</v>
      </c>
      <c r="M7" t="s">
        <v>18</v>
      </c>
    </row>
    <row r="8" spans="1:13" x14ac:dyDescent="0.3">
      <c r="A8">
        <v>7</v>
      </c>
      <c r="B8" t="s">
        <v>15</v>
      </c>
      <c r="C8" t="s">
        <v>44</v>
      </c>
      <c r="D8">
        <v>67000</v>
      </c>
      <c r="E8">
        <v>2</v>
      </c>
      <c r="F8" t="s">
        <v>16</v>
      </c>
      <c r="G8" t="s">
        <v>28</v>
      </c>
      <c r="H8" t="s">
        <v>18</v>
      </c>
      <c r="I8" t="s">
        <v>21</v>
      </c>
      <c r="J8">
        <v>36</v>
      </c>
      <c r="K8" t="str">
        <f>IF(projectdata4[[#This Row],[Age]]&lt;22,"young(1-20)",IF(projectdata4[[#This Row],[Age]]&gt;35,"old(&lt;35)","middle age(21-35)"))</f>
        <v>old(&lt;35)</v>
      </c>
      <c r="L8" t="s">
        <v>50</v>
      </c>
      <c r="M8" t="s">
        <v>13</v>
      </c>
    </row>
    <row r="9" spans="1:13" x14ac:dyDescent="0.3">
      <c r="A9">
        <v>8</v>
      </c>
      <c r="B9" t="s">
        <v>10</v>
      </c>
      <c r="C9" t="s">
        <v>45</v>
      </c>
      <c r="D9">
        <v>30000</v>
      </c>
      <c r="E9">
        <v>0</v>
      </c>
      <c r="F9" t="s">
        <v>11</v>
      </c>
      <c r="G9" t="s">
        <v>29</v>
      </c>
      <c r="H9" t="s">
        <v>13</v>
      </c>
      <c r="I9" t="s">
        <v>24</v>
      </c>
      <c r="J9">
        <v>23</v>
      </c>
      <c r="K9" t="str">
        <f>IF(projectdata4[[#This Row],[Age]]&lt;22,"young(1-20)",IF(projectdata4[[#This Row],[Age]]&gt;35,"old(&lt;35)","middle age(21-35)"))</f>
        <v>middle age(21-35)</v>
      </c>
      <c r="L9" t="s">
        <v>50</v>
      </c>
      <c r="M9" t="s">
        <v>13</v>
      </c>
    </row>
    <row r="10" spans="1:13" x14ac:dyDescent="0.3">
      <c r="A10">
        <v>9</v>
      </c>
      <c r="B10" t="s">
        <v>15</v>
      </c>
      <c r="C10" t="s">
        <v>44</v>
      </c>
      <c r="D10">
        <v>9500</v>
      </c>
      <c r="E10">
        <v>1</v>
      </c>
      <c r="F10" t="s">
        <v>25</v>
      </c>
      <c r="G10" t="s">
        <v>30</v>
      </c>
      <c r="H10" t="s">
        <v>18</v>
      </c>
      <c r="I10" t="s">
        <v>14</v>
      </c>
      <c r="J10">
        <v>59</v>
      </c>
      <c r="K10" t="str">
        <f>IF(projectdata4[[#This Row],[Age]]&lt;22,"young(1-20)",IF(projectdata4[[#This Row],[Age]]&gt;35,"old(&lt;35)","middle age(21-35)"))</f>
        <v>old(&lt;35)</v>
      </c>
      <c r="L10" t="s">
        <v>50</v>
      </c>
      <c r="M10" t="s">
        <v>18</v>
      </c>
    </row>
    <row r="11" spans="1:13" x14ac:dyDescent="0.3">
      <c r="A11">
        <v>1</v>
      </c>
      <c r="B11" t="s">
        <v>10</v>
      </c>
      <c r="C11" t="s">
        <v>45</v>
      </c>
      <c r="D11">
        <v>5200</v>
      </c>
      <c r="E11">
        <v>0</v>
      </c>
      <c r="F11" t="s">
        <v>16</v>
      </c>
      <c r="G11" t="s">
        <v>31</v>
      </c>
      <c r="H11" t="s">
        <v>13</v>
      </c>
      <c r="I11" t="s">
        <v>19</v>
      </c>
      <c r="J11">
        <v>27</v>
      </c>
      <c r="K11" t="str">
        <f>IF(projectdata4[[#This Row],[Age]]&lt;22,"young(1-20)",IF(projectdata4[[#This Row],[Age]]&gt;35,"old(&lt;35)","middle age(21-35)"))</f>
        <v>middle age(21-35)</v>
      </c>
      <c r="L11" t="s">
        <v>51</v>
      </c>
      <c r="M11" t="s">
        <v>18</v>
      </c>
    </row>
    <row r="12" spans="1:13" x14ac:dyDescent="0.3">
      <c r="A12">
        <v>11</v>
      </c>
      <c r="B12" t="s">
        <v>15</v>
      </c>
      <c r="C12" t="s">
        <v>44</v>
      </c>
      <c r="D12">
        <v>40000</v>
      </c>
      <c r="E12">
        <v>2</v>
      </c>
      <c r="F12" t="s">
        <v>22</v>
      </c>
      <c r="G12" t="s">
        <v>32</v>
      </c>
      <c r="H12" t="s">
        <v>18</v>
      </c>
      <c r="I12" t="s">
        <v>21</v>
      </c>
      <c r="J12">
        <v>35</v>
      </c>
      <c r="K12" t="str">
        <f>IF(projectdata4[[#This Row],[Age]]&lt;22,"young(1-20)",IF(projectdata4[[#This Row],[Age]]&gt;35,"old(&lt;35)","middle age(21-35)"))</f>
        <v>middle age(21-35)</v>
      </c>
      <c r="L12" t="s">
        <v>51</v>
      </c>
      <c r="M12" t="s">
        <v>13</v>
      </c>
    </row>
    <row r="13" spans="1:13" x14ac:dyDescent="0.3">
      <c r="A13">
        <v>12</v>
      </c>
      <c r="B13" t="s">
        <v>10</v>
      </c>
      <c r="C13" t="s">
        <v>45</v>
      </c>
      <c r="D13">
        <v>60000</v>
      </c>
      <c r="E13">
        <v>0</v>
      </c>
      <c r="F13" t="s">
        <v>16</v>
      </c>
      <c r="G13" t="s">
        <v>33</v>
      </c>
      <c r="H13" t="s">
        <v>13</v>
      </c>
      <c r="I13" t="s">
        <v>24</v>
      </c>
      <c r="J13">
        <v>25</v>
      </c>
      <c r="K13" t="str">
        <f>IF(projectdata4[[#This Row],[Age]]&lt;22,"young(1-20)",IF(projectdata4[[#This Row],[Age]]&gt;35,"old(&lt;35)","middle age(21-35)"))</f>
        <v>middle age(21-35)</v>
      </c>
      <c r="L13" t="s">
        <v>51</v>
      </c>
      <c r="M13" t="s">
        <v>18</v>
      </c>
    </row>
    <row r="14" spans="1:13" x14ac:dyDescent="0.3">
      <c r="A14">
        <v>13</v>
      </c>
      <c r="B14" t="s">
        <v>15</v>
      </c>
      <c r="C14" t="s">
        <v>44</v>
      </c>
      <c r="D14">
        <v>78000</v>
      </c>
      <c r="E14">
        <v>2</v>
      </c>
      <c r="F14" t="s">
        <v>16</v>
      </c>
      <c r="G14" t="s">
        <v>34</v>
      </c>
      <c r="H14" t="s">
        <v>18</v>
      </c>
      <c r="I14" t="s">
        <v>14</v>
      </c>
      <c r="J14">
        <v>33</v>
      </c>
      <c r="K14" t="str">
        <f>IF(projectdata4[[#This Row],[Age]]&lt;22,"young(1-20)",IF(projectdata4[[#This Row],[Age]]&gt;35,"old(&lt;35)","middle age(21-35)"))</f>
        <v>middle age(21-35)</v>
      </c>
      <c r="L14" t="s">
        <v>51</v>
      </c>
      <c r="M14" t="s">
        <v>18</v>
      </c>
    </row>
    <row r="15" spans="1:13" x14ac:dyDescent="0.3">
      <c r="A15">
        <v>14</v>
      </c>
      <c r="B15" t="s">
        <v>10</v>
      </c>
      <c r="C15" t="s">
        <v>45</v>
      </c>
      <c r="D15">
        <v>26000</v>
      </c>
      <c r="E15">
        <v>0</v>
      </c>
      <c r="F15" t="s">
        <v>35</v>
      </c>
      <c r="G15" t="s">
        <v>36</v>
      </c>
      <c r="H15" t="s">
        <v>13</v>
      </c>
      <c r="I15" t="s">
        <v>19</v>
      </c>
      <c r="J15">
        <v>21</v>
      </c>
      <c r="K15" t="str">
        <f>IF(projectdata4[[#This Row],[Age]]&lt;22,"young(1-20)",IF(projectdata4[[#This Row],[Age]]&gt;35,"old(&lt;35)","middle age(21-35)"))</f>
        <v>young(1-20)</v>
      </c>
      <c r="L15" t="s">
        <v>52</v>
      </c>
      <c r="M15" t="s">
        <v>13</v>
      </c>
    </row>
    <row r="16" spans="1:13" x14ac:dyDescent="0.3">
      <c r="A16">
        <v>15</v>
      </c>
      <c r="B16" t="s">
        <v>15</v>
      </c>
      <c r="C16" t="s">
        <v>44</v>
      </c>
      <c r="D16">
        <v>180</v>
      </c>
      <c r="E16">
        <v>2</v>
      </c>
      <c r="F16" t="s">
        <v>25</v>
      </c>
      <c r="G16" t="s">
        <v>37</v>
      </c>
      <c r="H16" t="s">
        <v>18</v>
      </c>
      <c r="I16" t="s">
        <v>24</v>
      </c>
      <c r="J16">
        <v>69</v>
      </c>
      <c r="K16" t="str">
        <f>IF(projectdata4[[#This Row],[Age]]&lt;22,"young(1-20)",IF(projectdata4[[#This Row],[Age]]&gt;35,"old(&lt;35)","middle age(21-35)"))</f>
        <v>old(&lt;35)</v>
      </c>
      <c r="L16" t="s">
        <v>52</v>
      </c>
      <c r="M16"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D18F1-4019-42E2-8FA1-F50FB563E363}">
  <dimension ref="A4:D43"/>
  <sheetViews>
    <sheetView topLeftCell="A4" zoomScale="67" workbookViewId="0">
      <selection activeCell="C11" sqref="C11"/>
    </sheetView>
  </sheetViews>
  <sheetFormatPr defaultRowHeight="14.4" x14ac:dyDescent="0.3"/>
  <cols>
    <col min="1" max="1" width="21.6640625" bestFit="1" customWidth="1"/>
    <col min="2" max="2" width="17.109375" bestFit="1" customWidth="1"/>
    <col min="3" max="3" width="6.109375" bestFit="1" customWidth="1"/>
    <col min="4" max="4" width="11.33203125" bestFit="1" customWidth="1"/>
    <col min="5" max="5" width="12.6640625" bestFit="1" customWidth="1"/>
    <col min="6" max="6" width="6.33203125" bestFit="1" customWidth="1"/>
    <col min="7" max="7" width="12.6640625" bestFit="1" customWidth="1"/>
    <col min="8" max="8" width="10.77734375" bestFit="1" customWidth="1"/>
    <col min="9" max="9" width="12.109375" bestFit="1" customWidth="1"/>
    <col min="10" max="10" width="6.21875" bestFit="1" customWidth="1"/>
    <col min="11" max="11" width="6" bestFit="1" customWidth="1"/>
    <col min="12" max="12" width="14" bestFit="1" customWidth="1"/>
    <col min="13" max="13" width="14.21875" bestFit="1" customWidth="1"/>
    <col min="14" max="14" width="5.44140625" bestFit="1" customWidth="1"/>
    <col min="15" max="15" width="17.5546875" bestFit="1" customWidth="1"/>
    <col min="16" max="16" width="6.77734375" bestFit="1" customWidth="1"/>
    <col min="17" max="17" width="9.6640625" bestFit="1" customWidth="1"/>
    <col min="18" max="18" width="12.109375" bestFit="1" customWidth="1"/>
  </cols>
  <sheetData>
    <row r="4" spans="1:4" x14ac:dyDescent="0.3">
      <c r="A4" s="1" t="s">
        <v>43</v>
      </c>
      <c r="B4" s="1" t="s">
        <v>42</v>
      </c>
    </row>
    <row r="5" spans="1:4" x14ac:dyDescent="0.3">
      <c r="A5" s="1" t="s">
        <v>40</v>
      </c>
      <c r="B5" t="s">
        <v>13</v>
      </c>
      <c r="C5" t="s">
        <v>18</v>
      </c>
      <c r="D5" t="s">
        <v>41</v>
      </c>
    </row>
    <row r="6" spans="1:4" x14ac:dyDescent="0.3">
      <c r="A6" s="2" t="s">
        <v>45</v>
      </c>
      <c r="B6">
        <v>28000</v>
      </c>
      <c r="C6">
        <v>19550</v>
      </c>
      <c r="D6">
        <v>23171.428571428572</v>
      </c>
    </row>
    <row r="7" spans="1:4" x14ac:dyDescent="0.3">
      <c r="A7" s="2" t="s">
        <v>44</v>
      </c>
      <c r="B7">
        <v>41550</v>
      </c>
      <c r="C7">
        <v>24920</v>
      </c>
      <c r="D7">
        <v>33235</v>
      </c>
    </row>
    <row r="8" spans="1:4" x14ac:dyDescent="0.3">
      <c r="A8" s="2" t="s">
        <v>41</v>
      </c>
      <c r="B8">
        <v>35742.857142857145</v>
      </c>
      <c r="C8">
        <v>22235</v>
      </c>
      <c r="D8">
        <v>28538.666666666668</v>
      </c>
    </row>
    <row r="24" spans="1:4" x14ac:dyDescent="0.3">
      <c r="A24" s="1" t="s">
        <v>53</v>
      </c>
      <c r="B24" s="1" t="s">
        <v>42</v>
      </c>
    </row>
    <row r="25" spans="1:4" x14ac:dyDescent="0.3">
      <c r="A25" s="1" t="s">
        <v>40</v>
      </c>
      <c r="B25" t="s">
        <v>13</v>
      </c>
      <c r="C25" t="s">
        <v>18</v>
      </c>
      <c r="D25" t="s">
        <v>41</v>
      </c>
    </row>
    <row r="26" spans="1:4" x14ac:dyDescent="0.3">
      <c r="A26" s="2" t="s">
        <v>48</v>
      </c>
      <c r="B26">
        <v>1</v>
      </c>
      <c r="D26">
        <v>1</v>
      </c>
    </row>
    <row r="27" spans="1:4" x14ac:dyDescent="0.3">
      <c r="A27" s="2" t="s">
        <v>49</v>
      </c>
      <c r="B27">
        <v>2</v>
      </c>
      <c r="C27">
        <v>1</v>
      </c>
      <c r="D27">
        <v>3</v>
      </c>
    </row>
    <row r="28" spans="1:4" x14ac:dyDescent="0.3">
      <c r="A28" s="2" t="s">
        <v>50</v>
      </c>
      <c r="B28">
        <v>2</v>
      </c>
      <c r="C28">
        <v>3</v>
      </c>
      <c r="D28">
        <v>5</v>
      </c>
    </row>
    <row r="29" spans="1:4" x14ac:dyDescent="0.3">
      <c r="A29" s="2" t="s">
        <v>51</v>
      </c>
      <c r="B29">
        <v>1</v>
      </c>
      <c r="C29">
        <v>3</v>
      </c>
      <c r="D29">
        <v>4</v>
      </c>
    </row>
    <row r="30" spans="1:4" x14ac:dyDescent="0.3">
      <c r="A30" s="2" t="s">
        <v>52</v>
      </c>
      <c r="B30">
        <v>1</v>
      </c>
      <c r="C30">
        <v>1</v>
      </c>
      <c r="D30">
        <v>2</v>
      </c>
    </row>
    <row r="31" spans="1:4" x14ac:dyDescent="0.3">
      <c r="A31" s="2" t="s">
        <v>41</v>
      </c>
      <c r="B31">
        <v>7</v>
      </c>
      <c r="C31">
        <v>8</v>
      </c>
      <c r="D31">
        <v>15</v>
      </c>
    </row>
    <row r="38" spans="1:4" x14ac:dyDescent="0.3">
      <c r="A38" s="1" t="s">
        <v>53</v>
      </c>
      <c r="B38" s="1" t="s">
        <v>42</v>
      </c>
    </row>
    <row r="39" spans="1:4" x14ac:dyDescent="0.3">
      <c r="A39" s="1" t="s">
        <v>40</v>
      </c>
      <c r="B39" t="s">
        <v>13</v>
      </c>
      <c r="C39" t="s">
        <v>18</v>
      </c>
      <c r="D39" t="s">
        <v>41</v>
      </c>
    </row>
    <row r="40" spans="1:4" x14ac:dyDescent="0.3">
      <c r="A40" s="2" t="s">
        <v>54</v>
      </c>
      <c r="B40">
        <v>3</v>
      </c>
      <c r="C40">
        <v>4</v>
      </c>
      <c r="D40">
        <v>7</v>
      </c>
    </row>
    <row r="41" spans="1:4" x14ac:dyDescent="0.3">
      <c r="A41" s="2" t="s">
        <v>55</v>
      </c>
      <c r="B41">
        <v>2</v>
      </c>
      <c r="C41">
        <v>3</v>
      </c>
      <c r="D41">
        <v>5</v>
      </c>
    </row>
    <row r="42" spans="1:4" x14ac:dyDescent="0.3">
      <c r="A42" s="2" t="s">
        <v>56</v>
      </c>
      <c r="B42">
        <v>2</v>
      </c>
      <c r="C42">
        <v>1</v>
      </c>
      <c r="D42">
        <v>3</v>
      </c>
    </row>
    <row r="43" spans="1:4" x14ac:dyDescent="0.3">
      <c r="A43" s="2" t="s">
        <v>41</v>
      </c>
      <c r="B43">
        <v>7</v>
      </c>
      <c r="C43">
        <v>8</v>
      </c>
      <c r="D43">
        <v>15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E1D9-49E9-4CFF-83C6-350A4040BFE6}">
  <dimension ref="A1:O3"/>
  <sheetViews>
    <sheetView showGridLines="0" zoomScale="81" zoomScaleNormal="55" workbookViewId="0">
      <selection activeCell="X22" sqref="X22"/>
    </sheetView>
  </sheetViews>
  <sheetFormatPr defaultRowHeight="14.4" x14ac:dyDescent="0.3"/>
  <sheetData>
    <row r="1" spans="1:15" x14ac:dyDescent="0.3">
      <c r="A1" s="3"/>
      <c r="B1" s="3"/>
      <c r="C1" s="3"/>
      <c r="D1" s="3"/>
      <c r="E1" s="3"/>
      <c r="F1" s="3"/>
      <c r="G1" s="3"/>
      <c r="H1" s="3"/>
      <c r="I1" s="3"/>
      <c r="J1" s="3"/>
      <c r="K1" s="3"/>
      <c r="L1" s="3"/>
      <c r="M1" s="3"/>
      <c r="N1" s="3"/>
      <c r="O1" s="3"/>
    </row>
    <row r="2" spans="1:15" ht="38.4" x14ac:dyDescent="0.7">
      <c r="A2" s="3"/>
      <c r="B2" s="4" t="s">
        <v>57</v>
      </c>
      <c r="C2" s="4"/>
      <c r="D2" s="4"/>
      <c r="E2" s="4"/>
      <c r="F2" s="4"/>
      <c r="G2" s="4"/>
      <c r="H2" s="4"/>
      <c r="I2" s="4"/>
      <c r="J2" s="4"/>
      <c r="K2" s="4"/>
      <c r="L2" s="4"/>
      <c r="M2" s="3"/>
      <c r="N2" s="3"/>
      <c r="O2" s="3"/>
    </row>
    <row r="3" spans="1:15" x14ac:dyDescent="0.3">
      <c r="A3" s="3"/>
      <c r="B3" s="3"/>
      <c r="C3" s="3"/>
      <c r="D3" s="3"/>
      <c r="E3" s="3"/>
      <c r="F3" s="3"/>
      <c r="G3" s="3"/>
      <c r="H3" s="3"/>
      <c r="I3" s="3"/>
      <c r="J3" s="3"/>
      <c r="K3" s="3"/>
      <c r="L3" s="3"/>
      <c r="M3" s="3"/>
      <c r="N3" s="3"/>
      <c r="O3" s="3"/>
    </row>
  </sheetData>
  <mergeCells count="1">
    <mergeCell ref="B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EB4FF7-C575-4299-A1F1-72E1106CA8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projectdata</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Dileep B</cp:lastModifiedBy>
  <dcterms:created xsi:type="dcterms:W3CDTF">2026-02-09T09:26:59Z</dcterms:created>
  <dcterms:modified xsi:type="dcterms:W3CDTF">2026-02-10T07:43:09Z</dcterms:modified>
</cp:coreProperties>
</file>